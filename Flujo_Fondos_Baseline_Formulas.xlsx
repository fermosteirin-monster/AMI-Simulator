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ámetros" state="visible" r:id="rId4"/>
    <sheet sheetId="2" name="Flujo de Fondos" state="visible" r:id="rId5"/>
  </sheets>
  <calcPr calcId="171027"/>
</workbook>
</file>

<file path=xl/sharedStrings.xml><?xml version="1.0" encoding="utf-8"?>
<sst xmlns="http://schemas.openxmlformats.org/spreadsheetml/2006/main" count="181" uniqueCount="144">
  <si>
    <t>Parámetro</t>
  </si>
  <si>
    <t>Valor</t>
  </si>
  <si>
    <t>Unidad</t>
  </si>
  <si>
    <t>GLOBAL</t>
  </si>
  <si>
    <t>Total Suministros (Medidores)</t>
  </si>
  <si>
    <t>unidades</t>
  </si>
  <si>
    <t>Horizonte de Análisis</t>
  </si>
  <si>
    <t>años</t>
  </si>
  <si>
    <t>WACC del Proyecto</t>
  </si>
  <si>
    <t>%</t>
  </si>
  <si>
    <t>Mix Wi-SUN</t>
  </si>
  <si>
    <t>Mix PLC</t>
  </si>
  <si>
    <t>Mix Medidores T2/T3</t>
  </si>
  <si>
    <t>Rampa Inicial Año 1</t>
  </si>
  <si>
    <t>CAPEX — Medidores e Instalación</t>
  </si>
  <si>
    <t>Costo Medidor T1</t>
  </si>
  <si>
    <t>USD/unidad</t>
  </si>
  <si>
    <t>Costo Medidor T2/T3</t>
  </si>
  <si>
    <t>Módulo Comunicación Wi-SUN</t>
  </si>
  <si>
    <t>Módulo Comunicación PLC</t>
  </si>
  <si>
    <t>Módulo Comunicación P2P/Celular</t>
  </si>
  <si>
    <t>Costo Instalación (MO)</t>
  </si>
  <si>
    <t>Logística por Medidor</t>
  </si>
  <si>
    <t>Concentrador PLC</t>
  </si>
  <si>
    <t>USD/nodo</t>
  </si>
  <si>
    <t>Focal Point Wi-SUN</t>
  </si>
  <si>
    <t>Medidores por Concentrador PLC</t>
  </si>
  <si>
    <t>und/nodo</t>
  </si>
  <si>
    <t>Medidores por Focal Point Wi-SUN</t>
  </si>
  <si>
    <t>CAPEX — Plataforma IT</t>
  </si>
  <si>
    <t>Costo Integración IT Total</t>
  </si>
  <si>
    <t>USD</t>
  </si>
  <si>
    <t>Costo Project Management</t>
  </si>
  <si>
    <t>Desembolso IT Año 0</t>
  </si>
  <si>
    <t>Desembolso IT Año 1</t>
  </si>
  <si>
    <t>Desembolso IT Año 2</t>
  </si>
  <si>
    <t>Desembolso IT Año 3</t>
  </si>
  <si>
    <t>OPEX</t>
  </si>
  <si>
    <t>Mantenimiento IT Anual</t>
  </si>
  <si>
    <t>USD/año</t>
  </si>
  <si>
    <t>Licencias SaaS Anual</t>
  </si>
  <si>
    <t>Administración y Soporte</t>
  </si>
  <si>
    <t>Telecomunicaciones (P2P)</t>
  </si>
  <si>
    <t>USD/med/mes</t>
  </si>
  <si>
    <t>Cloud Mensual (base)</t>
  </si>
  <si>
    <t>USD/mes</t>
  </si>
  <si>
    <t>BENEFICIOS — Operacionales</t>
  </si>
  <si>
    <t>Volumen Lecturas Manuales Anuales</t>
  </si>
  <si>
    <t>lecturas</t>
  </si>
  <si>
    <t>Costo Unitario por Lectura</t>
  </si>
  <si>
    <t>USD/lectura</t>
  </si>
  <si>
    <t>Cortes Anuales (manual)</t>
  </si>
  <si>
    <t>eventos</t>
  </si>
  <si>
    <t>Reposiciones Anuales (manual)</t>
  </si>
  <si>
    <t>Costo Despacho Cuadrilla</t>
  </si>
  <si>
    <t>USD/visita</t>
  </si>
  <si>
    <t>Visitas Improductivas Evitadas</t>
  </si>
  <si>
    <t>visitas/año</t>
  </si>
  <si>
    <t>Visitas Reiterativas Evitadas</t>
  </si>
  <si>
    <t>Visitas de Calidad Evitadas</t>
  </si>
  <si>
    <t>Costo Despacho Cuadrilla Guardia</t>
  </si>
  <si>
    <t>BENEFICIOS — Regulatorios / Multas</t>
  </si>
  <si>
    <t>SAIDI Histórico</t>
  </si>
  <si>
    <t>minutos</t>
  </si>
  <si>
    <t>Reducción SAIDI esperada</t>
  </si>
  <si>
    <t>Penalidad por Minuto SAIDI</t>
  </si>
  <si>
    <t>USD/min</t>
  </si>
  <si>
    <t>Multas por Estimación (anual base)</t>
  </si>
  <si>
    <t>Multas Apartamiento (base anual)</t>
  </si>
  <si>
    <t>Mejora Apartamiento esperada</t>
  </si>
  <si>
    <t>Multas Incumplimiento (base anual)</t>
  </si>
  <si>
    <t>Mejora Incumplimiento esperada</t>
  </si>
  <si>
    <t>BENEFICIOS — Comerciales</t>
  </si>
  <si>
    <t>Reclamos Facturación Evitados</t>
  </si>
  <si>
    <t>reclamos/año</t>
  </si>
  <si>
    <t>Llamadas Inbound Evitadas</t>
  </si>
  <si>
    <t>llamadas/año</t>
  </si>
  <si>
    <t>Costo Unitario Call Center</t>
  </si>
  <si>
    <t>USD/llamada</t>
  </si>
  <si>
    <t>Reclamos Resarcimiento Artefactos (base)</t>
  </si>
  <si>
    <t>Reducción Resarcimientos esperada</t>
  </si>
  <si>
    <t>BENEFICIOS — Recupero Fraude</t>
  </si>
  <si>
    <t>Pérdidas No Técnicas (base)</t>
  </si>
  <si>
    <t>GWh</t>
  </si>
  <si>
    <t>Tasa de Recupero esperada</t>
  </si>
  <si>
    <t>Costo Energía Mayorista (MEM)</t>
  </si>
  <si>
    <t>USD/GWh</t>
  </si>
  <si>
    <t>Tarifa Comercial Promedio</t>
  </si>
  <si>
    <t>REGULATORIO — VAD (ENRE)</t>
  </si>
  <si>
    <t>WACC Reconocido ENRE</t>
  </si>
  <si>
    <t>CAPEX Medidor Reconocido Fase 1</t>
  </si>
  <si>
    <t>USD/und</t>
  </si>
  <si>
    <t>Vida Útil Regulatoria Medidor</t>
  </si>
  <si>
    <t>Vida Útil Regulatoria Plataforma IT</t>
  </si>
  <si>
    <t>Subsidio ENRE IT</t>
  </si>
  <si>
    <t>Concepto</t>
  </si>
  <si>
    <t>Año 0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</si>
  <si>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</si>
  <si>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</si>
  <si>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</si>
  <si>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</si>
  <si>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</si>
  <si>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</si>
  <si>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</si>
  <si>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</si>
  <si>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</si>
  <si>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</si>
  <si>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DESPLIEGUE DE MEDIDORES</t>
  </si>
  <si>
    <t xml:space="preserve">  └ SM Instalados en el Año</t>
  </si>
  <si>
    <t xml:space="preserve">  └ SM Acumulados (Total Red)</t>
  </si>
  <si>
    <t xml:space="preserve">  └ Avance del Despliegue (%)</t>
  </si>
  <si>
    <t>CAPEX — INVERSIÓN</t>
  </si>
  <si>
    <t xml:space="preserve">  └ CAPEX IT y PM</t>
  </si>
  <si>
    <t xml:space="preserve">  └ CAPEX Hardware (Medidores + Módulos Comms)</t>
  </si>
  <si>
    <t xml:space="preserve">  └ CAPEX Instalación y Logística</t>
  </si>
  <si>
    <t xml:space="preserve">  └ CAPEX Infraestructura (Nodos de Red)</t>
  </si>
  <si>
    <t>CAPEX TOTAL</t>
  </si>
  <si>
    <t>OPEX — COSTOS OPERATIVOS</t>
  </si>
  <si>
    <t xml:space="preserve">  └ Mantenimiento IT</t>
  </si>
  <si>
    <t xml:space="preserve">  └ Licencias SaaS</t>
  </si>
  <si>
    <t xml:space="preserve">  └ Administración y Soporte</t>
  </si>
  <si>
    <t xml:space="preserve">  └ Telecomunicaciones P2P (var. según medidores activos)</t>
  </si>
  <si>
    <t xml:space="preserve">  └ Cloud Mensual (base fija)</t>
  </si>
  <si>
    <t>OPEX TOTAL</t>
  </si>
  <si>
    <t>BENEFICIOS — SAVINGS OPERACIONALES Y REGULATORIOS</t>
  </si>
  <si>
    <t xml:space="preserve">  └ Lecturas Manuales Evitadas</t>
  </si>
  <si>
    <t xml:space="preserve">  └ Cortes y Reposiciones Remotas (cuadrilla evitada)</t>
  </si>
  <si>
    <t xml:space="preserve">  └ Visitas Improductivas, Reiterativas y de Calidad Evitadas</t>
  </si>
  <si>
    <t xml:space="preserve">  └ Reducción Multas SAIDI (minutos × penalidad)</t>
  </si>
  <si>
    <t xml:space="preserve">  └ Reducción Multas por Estimación (lectura real evita sanción)</t>
  </si>
  <si>
    <t xml:space="preserve">  └ Reducción Multas de Apartamiento (Calidad de Producto)</t>
  </si>
  <si>
    <t xml:space="preserve">  └ Reducción Multas de Incumplimiento Regulatorio</t>
  </si>
  <si>
    <t xml:space="preserve">  └ Reducción Reclamos y Llamadas Call Center</t>
  </si>
  <si>
    <t xml:space="preserve">  └ Reducción Resarcimientos por Artefactos Quemados</t>
  </si>
  <si>
    <t xml:space="preserve">  └ Recupero de Pérdidas No Técnicas / Fraude</t>
  </si>
  <si>
    <t>BENEFICIOS TOTALES</t>
  </si>
  <si>
    <t>INGRESOS VAD — RECONOCIMIENTO TARIFARIO ENRE</t>
  </si>
  <si>
    <t xml:space="preserve">  └ VAD IT (Amortización + Retorno sobre RAB — Plataforma)</t>
  </si>
  <si>
    <t xml:space="preserve">  └ VAD Medidores (Amortización + Retorno sobre RAB — por Cohorte)</t>
  </si>
  <si>
    <t>INGRESOS VAD TOTALES</t>
  </si>
  <si>
    <t>FLUJO DE CAJA</t>
  </si>
  <si>
    <t>Flujo de Caja Neto (FCF)</t>
  </si>
  <si>
    <t xml:space="preserve">  └ FCF Descontado (al WACC del Proyecto)</t>
  </si>
  <si>
    <t xml:space="preserve">  └ VPN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</si>
</sst>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i/>
      <color rgb="FF1E3A5F"/>
    </font>
    <font>
      <b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6F1"/>
      </patternFill>
    </fill>
    <fill>
      <patternFill patternType="solid">
        <fgColor rgb="FF4472C4"/>
      </patternFill>
    </fill>
    <fill>
      <patternFill patternType="solid">
        <fgColor rgb="FFC00000"/>
      </patternFill>
    </fill>
    <fill>
      <patternFill patternType="solid">
        <fgColor rgb="FFFFC7CE"/>
      </patternFill>
    </fill>
    <fill>
      <patternFill patternType="solid">
        <fgColor rgb="FFE26B0A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EDE7F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3" borderId="0" xfId="0" applyFont="1" applyFill="1"/>
    <xf numFmtId="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5" borderId="0" xfId="0" applyFont="1" applyFill="1"/>
    <xf numFmtId="0" fontId="0" fillId="6" borderId="0" xfId="0" applyFill="1"/>
    <xf numFmtId="3" fontId="0" fillId="6" borderId="0" xfId="0" applyNumberFormat="1" applyFill="1" applyAlignment="1">
      <alignment horizontal="right"/>
    </xf>
    <xf numFmtId="0" fontId="3" fillId="6" borderId="0" xfId="0" applyFont="1" applyFill="1"/>
    <xf numFmtId="3" fontId="1" fillId="6" borderId="0" xfId="0" applyNumberFormat="1" applyFont="1" applyFill="1" applyAlignment="1">
      <alignment horizontal="right"/>
    </xf>
    <xf numFmtId="0" fontId="1" fillId="7" borderId="0" xfId="0" applyFont="1" applyFill="1"/>
    <xf numFmtId="0" fontId="0" fillId="8" borderId="0" xfId="0" applyFill="1"/>
    <xf numFmtId="3" fontId="0" fillId="8" borderId="0" xfId="0" applyNumberFormat="1" applyFill="1" applyAlignment="1">
      <alignment horizontal="right"/>
    </xf>
    <xf numFmtId="0" fontId="3" fillId="8" borderId="0" xfId="0" applyFont="1" applyFill="1"/>
    <xf numFmtId="3" fontId="1" fillId="8" borderId="0" xfId="0" applyNumberFormat="1" applyFont="1" applyFill="1" applyAlignment="1">
      <alignment horizontal="right"/>
    </xf>
    <xf numFmtId="0" fontId="1" fillId="9" borderId="0" xfId="0" applyFont="1" applyFill="1"/>
    <xf numFmtId="0" fontId="0" fillId="10" borderId="0" xfId="0" applyFill="1"/>
    <xf numFmtId="3" fontId="0" fillId="10" borderId="0" xfId="0" applyNumberFormat="1" applyFill="1" applyAlignment="1">
      <alignment horizontal="right"/>
    </xf>
    <xf numFmtId="0" fontId="3" fillId="9" borderId="0" xfId="0" applyFont="1" applyFill="1"/>
    <xf numFmtId="3" fontId="1" fillId="9" borderId="0" xfId="0" applyNumberFormat="1" applyFont="1" applyFill="1" applyAlignment="1">
      <alignment horizontal="right"/>
    </xf>
    <xf numFmtId="0" fontId="1" fillId="11" borderId="0" xfId="0" applyFont="1" applyFill="1"/>
    <xf numFmtId="0" fontId="0" fillId="12" borderId="0" xfId="0" applyFill="1"/>
    <xf numFmtId="3" fontId="0" fillId="12" borderId="0" xfId="0" applyNumberFormat="1" applyFill="1" applyAlignment="1">
      <alignment horizontal="right"/>
    </xf>
    <xf numFmtId="0" fontId="3" fillId="11" borderId="0" xfId="0" applyFont="1" applyFill="1"/>
    <xf numFmtId="3" fontId="1" fillId="11" borderId="0" xfId="0" applyNumberFormat="1" applyFont="1" applyFill="1" applyAlignment="1">
      <alignment horizontal="right"/>
    </xf>
    <xf numFmtId="0" fontId="3" fillId="4" borderId="0" xfId="0" applyFont="1" applyFill="1"/>
    <xf numFmtId="3" fontId="1" fillId="4" borderId="0" xfId="0" applyNumberFormat="1" applyFont="1" applyFill="1" applyAlignment="1">
      <alignment horizontal="right"/>
    </xf>
    <xf numFmtId="0" fontId="0" fillId="13" borderId="0" xfId="0" applyFill="1"/>
    <xf numFmtId="3" fontId="0" fillId="1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FormatPr defaultRowHeight="15" outlineLevelRow="0" outlineLevelCol="0" x14ac:dyDescent="55"/>
  <cols>
    <col min="1" max="1" width="42" customWidth="1"/>
    <col min="2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/>
      <c r="C2" s="2"/>
    </row>
    <row r="3" spans="1:3" x14ac:dyDescent="0.25">
      <c r="A3" t="s">
        <v>4</v>
      </c>
      <c r="B3" s="3">
        <v>2700000</v>
      </c>
      <c r="C3" t="s">
        <v>5</v>
      </c>
    </row>
    <row r="4" spans="1:3" x14ac:dyDescent="0.25">
      <c r="A4" t="s">
        <v>6</v>
      </c>
      <c r="B4" s="3">
        <v>10</v>
      </c>
      <c r="C4" t="s">
        <v>7</v>
      </c>
    </row>
    <row r="5" spans="1:3" x14ac:dyDescent="0.25">
      <c r="A5" t="s">
        <v>8</v>
      </c>
      <c r="B5" s="3">
        <v>14.2</v>
      </c>
      <c r="C5" t="s">
        <v>9</v>
      </c>
    </row>
    <row r="6" spans="1:3" x14ac:dyDescent="0.25">
      <c r="A6" t="s">
        <v>10</v>
      </c>
      <c r="B6" s="3">
        <v>20</v>
      </c>
      <c r="C6" t="s">
        <v>9</v>
      </c>
    </row>
    <row r="7" spans="1:3" x14ac:dyDescent="0.25">
      <c r="A7" t="s">
        <v>11</v>
      </c>
      <c r="B7" s="3">
        <v>75</v>
      </c>
      <c r="C7" t="s">
        <v>9</v>
      </c>
    </row>
    <row r="8" spans="1:3" x14ac:dyDescent="0.25">
      <c r="A8" t="s">
        <v>12</v>
      </c>
      <c r="B8" s="3">
        <v>2</v>
      </c>
      <c r="C8" t="s">
        <v>9</v>
      </c>
    </row>
    <row r="9" spans="1:3" x14ac:dyDescent="0.25">
      <c r="A9" t="s">
        <v>13</v>
      </c>
      <c r="B9" s="3">
        <v>100000</v>
      </c>
      <c r="C9" t="s">
        <v>5</v>
      </c>
    </row>
    <row r="10" spans="1:3" s="2" customFormat="1" x14ac:dyDescent="0.25">
      <c r="A10" s="2" t="s">
        <v>14</v>
      </c>
      <c r="B10" s="2"/>
      <c r="C10" s="2"/>
    </row>
    <row r="11" spans="1:3" x14ac:dyDescent="0.25">
      <c r="A11" t="s">
        <v>15</v>
      </c>
      <c r="B11" s="3">
        <v>60</v>
      </c>
      <c r="C11" t="s">
        <v>16</v>
      </c>
    </row>
    <row r="12" spans="1:3" x14ac:dyDescent="0.25">
      <c r="A12" t="s">
        <v>17</v>
      </c>
      <c r="B12" s="3">
        <v>100</v>
      </c>
      <c r="C12" t="s">
        <v>16</v>
      </c>
    </row>
    <row r="13" spans="1:3" x14ac:dyDescent="0.25">
      <c r="A13" t="s">
        <v>18</v>
      </c>
      <c r="B13" s="3">
        <v>15</v>
      </c>
      <c r="C13" t="s">
        <v>16</v>
      </c>
    </row>
    <row r="14" spans="1:3" x14ac:dyDescent="0.25">
      <c r="A14" t="s">
        <v>19</v>
      </c>
      <c r="B14" s="3">
        <v>15</v>
      </c>
      <c r="C14" t="s">
        <v>16</v>
      </c>
    </row>
    <row r="15" spans="1:3" x14ac:dyDescent="0.25">
      <c r="A15" t="s">
        <v>20</v>
      </c>
      <c r="B15" s="3">
        <v>15</v>
      </c>
      <c r="C15" t="s">
        <v>16</v>
      </c>
    </row>
    <row r="16" spans="1:3" x14ac:dyDescent="0.25">
      <c r="A16" t="s">
        <v>21</v>
      </c>
      <c r="B16" s="3">
        <v>35</v>
      </c>
      <c r="C16" t="s">
        <v>16</v>
      </c>
    </row>
    <row r="17" spans="1:3" x14ac:dyDescent="0.25">
      <c r="A17" t="s">
        <v>22</v>
      </c>
      <c r="B17" s="3">
        <v>5</v>
      </c>
      <c r="C17" t="s">
        <v>16</v>
      </c>
    </row>
    <row r="18" spans="1:3" x14ac:dyDescent="0.25">
      <c r="A18" t="s">
        <v>23</v>
      </c>
      <c r="B18" s="3">
        <v>700</v>
      </c>
      <c r="C18" t="s">
        <v>24</v>
      </c>
    </row>
    <row r="19" spans="1:3" x14ac:dyDescent="0.25">
      <c r="A19" t="s">
        <v>25</v>
      </c>
      <c r="B19" s="3">
        <v>700</v>
      </c>
      <c r="C19" t="s">
        <v>24</v>
      </c>
    </row>
    <row r="20" spans="1:3" x14ac:dyDescent="0.25">
      <c r="A20" t="s">
        <v>26</v>
      </c>
      <c r="B20" s="3">
        <v>250</v>
      </c>
      <c r="C20" t="s">
        <v>27</v>
      </c>
    </row>
    <row r="21" spans="1:3" x14ac:dyDescent="0.25">
      <c r="A21" t="s">
        <v>28</v>
      </c>
      <c r="B21" s="3">
        <v>5000</v>
      </c>
      <c r="C21" t="s">
        <v>27</v>
      </c>
    </row>
    <row r="22" spans="1:3" s="2" customFormat="1" x14ac:dyDescent="0.25">
      <c r="A22" s="2" t="s">
        <v>29</v>
      </c>
      <c r="B22" s="2"/>
      <c r="C22" s="2"/>
    </row>
    <row r="23" spans="1:3" x14ac:dyDescent="0.25">
      <c r="A23" t="s">
        <v>30</v>
      </c>
      <c r="B23" s="3">
        <v>15000000</v>
      </c>
      <c r="C23" t="s">
        <v>31</v>
      </c>
    </row>
    <row r="24" spans="1:3" x14ac:dyDescent="0.25">
      <c r="A24" t="s">
        <v>32</v>
      </c>
      <c r="B24" s="3">
        <v>1000000</v>
      </c>
      <c r="C24" t="s">
        <v>31</v>
      </c>
    </row>
    <row r="25" spans="1:3" x14ac:dyDescent="0.25">
      <c r="A25" t="s">
        <v>33</v>
      </c>
      <c r="B25" s="3">
        <v>40</v>
      </c>
      <c r="C25" t="s">
        <v>9</v>
      </c>
    </row>
    <row r="26" spans="1:3" x14ac:dyDescent="0.25">
      <c r="A26" t="s">
        <v>34</v>
      </c>
      <c r="B26" s="3">
        <v>30</v>
      </c>
      <c r="C26" t="s">
        <v>9</v>
      </c>
    </row>
    <row r="27" spans="1:3" x14ac:dyDescent="0.25">
      <c r="A27" t="s">
        <v>35</v>
      </c>
      <c r="B27" s="3">
        <v>20</v>
      </c>
      <c r="C27" t="s">
        <v>9</v>
      </c>
    </row>
    <row r="28" spans="1:3" x14ac:dyDescent="0.25">
      <c r="A28" t="s">
        <v>36</v>
      </c>
      <c r="B28" s="3">
        <v>10</v>
      </c>
      <c r="C28" t="s">
        <v>9</v>
      </c>
    </row>
    <row r="29" spans="1:3" s="2" customFormat="1" x14ac:dyDescent="0.25">
      <c r="A29" s="2" t="s">
        <v>37</v>
      </c>
      <c r="B29" s="2"/>
      <c r="C29" s="2"/>
    </row>
    <row r="30" spans="1:3" x14ac:dyDescent="0.25">
      <c r="A30" t="s">
        <v>38</v>
      </c>
      <c r="B30" s="3">
        <v>500000</v>
      </c>
      <c r="C30" t="s">
        <v>39</v>
      </c>
    </row>
    <row r="31" spans="1:3" x14ac:dyDescent="0.25">
      <c r="A31" t="s">
        <v>40</v>
      </c>
      <c r="B31" s="3">
        <v>200000</v>
      </c>
      <c r="C31" t="s">
        <v>39</v>
      </c>
    </row>
    <row r="32" spans="1:3" x14ac:dyDescent="0.25">
      <c r="A32" t="s">
        <v>41</v>
      </c>
      <c r="B32" s="3">
        <v>500000</v>
      </c>
      <c r="C32" t="s">
        <v>39</v>
      </c>
    </row>
    <row r="33" spans="1:3" x14ac:dyDescent="0.25">
      <c r="A33" t="s">
        <v>42</v>
      </c>
      <c r="B33" s="3">
        <v>0.52</v>
      </c>
      <c r="C33" t="s">
        <v>43</v>
      </c>
    </row>
    <row r="34" spans="1:3" x14ac:dyDescent="0.25">
      <c r="A34" t="s">
        <v>44</v>
      </c>
      <c r="B34" s="3">
        <v>5000</v>
      </c>
      <c r="C34" t="s">
        <v>45</v>
      </c>
    </row>
    <row r="35" spans="1:3" s="2" customFormat="1" x14ac:dyDescent="0.25">
      <c r="A35" s="2" t="s">
        <v>46</v>
      </c>
      <c r="B35" s="2"/>
      <c r="C35" s="2"/>
    </row>
    <row r="36" spans="1:3" x14ac:dyDescent="0.25">
      <c r="A36" t="s">
        <v>47</v>
      </c>
      <c r="B36" s="3">
        <v>32400000</v>
      </c>
      <c r="C36" t="s">
        <v>48</v>
      </c>
    </row>
    <row r="37" spans="1:3" x14ac:dyDescent="0.25">
      <c r="A37" t="s">
        <v>49</v>
      </c>
      <c r="B37" s="3">
        <v>0.25</v>
      </c>
      <c r="C37" t="s">
        <v>50</v>
      </c>
    </row>
    <row r="38" spans="1:3" x14ac:dyDescent="0.25">
      <c r="A38" t="s">
        <v>51</v>
      </c>
      <c r="B38" s="3">
        <v>318250</v>
      </c>
      <c r="C38" t="s">
        <v>52</v>
      </c>
    </row>
    <row r="39" spans="1:3" x14ac:dyDescent="0.25">
      <c r="A39" t="s">
        <v>53</v>
      </c>
      <c r="B39" s="3">
        <v>152000</v>
      </c>
      <c r="C39" t="s">
        <v>52</v>
      </c>
    </row>
    <row r="40" spans="1:3" x14ac:dyDescent="0.25">
      <c r="A40" t="s">
        <v>54</v>
      </c>
      <c r="B40" s="3">
        <v>14.6</v>
      </c>
      <c r="C40" t="s">
        <v>55</v>
      </c>
    </row>
    <row r="41" spans="1:3" x14ac:dyDescent="0.25">
      <c r="A41" t="s">
        <v>56</v>
      </c>
      <c r="B41" s="3">
        <v>75000</v>
      </c>
      <c r="C41" t="s">
        <v>57</v>
      </c>
    </row>
    <row r="42" spans="1:3" x14ac:dyDescent="0.25">
      <c r="A42" t="s">
        <v>58</v>
      </c>
      <c r="B42" s="3">
        <v>30000</v>
      </c>
      <c r="C42" t="s">
        <v>57</v>
      </c>
    </row>
    <row r="43" spans="1:3" x14ac:dyDescent="0.25">
      <c r="A43" t="s">
        <v>59</v>
      </c>
      <c r="B43" s="3">
        <v>20000</v>
      </c>
      <c r="C43" t="s">
        <v>57</v>
      </c>
    </row>
    <row r="44" spans="1:3" x14ac:dyDescent="0.25">
      <c r="A44" t="s">
        <v>60</v>
      </c>
      <c r="B44" s="3">
        <v>20</v>
      </c>
      <c r="C44" t="s">
        <v>55</v>
      </c>
    </row>
    <row r="45" spans="1:3" s="2" customFormat="1" x14ac:dyDescent="0.25">
      <c r="A45" s="2" t="s">
        <v>61</v>
      </c>
      <c r="B45" s="2"/>
      <c r="C45" s="2"/>
    </row>
    <row r="46" spans="1:3" x14ac:dyDescent="0.25">
      <c r="A46" t="s">
        <v>62</v>
      </c>
      <c r="B46" s="3">
        <v>350</v>
      </c>
      <c r="C46" t="s">
        <v>63</v>
      </c>
    </row>
    <row r="47" spans="1:3" x14ac:dyDescent="0.25">
      <c r="A47" t="s">
        <v>64</v>
      </c>
      <c r="B47" s="3">
        <v>25</v>
      </c>
      <c r="C47" t="s">
        <v>9</v>
      </c>
    </row>
    <row r="48" spans="1:3" x14ac:dyDescent="0.25">
      <c r="A48" t="s">
        <v>65</v>
      </c>
      <c r="B48" s="3">
        <v>50000</v>
      </c>
      <c r="C48" t="s">
        <v>66</v>
      </c>
    </row>
    <row r="49" spans="1:3" x14ac:dyDescent="0.25">
      <c r="A49" t="s">
        <v>67</v>
      </c>
      <c r="B49" s="3">
        <v>2420000</v>
      </c>
      <c r="C49" t="s">
        <v>39</v>
      </c>
    </row>
    <row r="50" spans="1:3" x14ac:dyDescent="0.25">
      <c r="A50" t="s">
        <v>68</v>
      </c>
      <c r="B50" s="3">
        <v>5250000</v>
      </c>
      <c r="C50" t="s">
        <v>39</v>
      </c>
    </row>
    <row r="51" spans="1:3" x14ac:dyDescent="0.25">
      <c r="A51" t="s">
        <v>69</v>
      </c>
      <c r="B51" s="3">
        <v>20</v>
      </c>
      <c r="C51" t="s">
        <v>9</v>
      </c>
    </row>
    <row r="52" spans="1:3" x14ac:dyDescent="0.25">
      <c r="A52" t="s">
        <v>70</v>
      </c>
      <c r="B52" s="3">
        <v>700000</v>
      </c>
      <c r="C52" t="s">
        <v>39</v>
      </c>
    </row>
    <row r="53" spans="1:3" x14ac:dyDescent="0.25">
      <c r="A53" t="s">
        <v>71</v>
      </c>
      <c r="B53" s="3">
        <v>70</v>
      </c>
      <c r="C53" t="s">
        <v>9</v>
      </c>
    </row>
    <row r="54" spans="1:3" s="2" customFormat="1" x14ac:dyDescent="0.25">
      <c r="A54" s="2" t="s">
        <v>72</v>
      </c>
      <c r="B54" s="2"/>
      <c r="C54" s="2"/>
    </row>
    <row r="55" spans="1:3" x14ac:dyDescent="0.25">
      <c r="A55" t="s">
        <v>73</v>
      </c>
      <c r="B55" s="3">
        <v>14500</v>
      </c>
      <c r="C55" t="s">
        <v>74</v>
      </c>
    </row>
    <row r="56" spans="1:3" x14ac:dyDescent="0.25">
      <c r="A56" t="s">
        <v>75</v>
      </c>
      <c r="B56" s="3">
        <v>46400</v>
      </c>
      <c r="C56" t="s">
        <v>76</v>
      </c>
    </row>
    <row r="57" spans="1:3" x14ac:dyDescent="0.25">
      <c r="A57" t="s">
        <v>77</v>
      </c>
      <c r="B57" s="3">
        <v>1.2</v>
      </c>
      <c r="C57" t="s">
        <v>78</v>
      </c>
    </row>
    <row r="58" spans="1:3" x14ac:dyDescent="0.25">
      <c r="A58" t="s">
        <v>79</v>
      </c>
      <c r="B58" s="3">
        <v>500000</v>
      </c>
      <c r="C58" t="s">
        <v>39</v>
      </c>
    </row>
    <row r="59" spans="1:3" x14ac:dyDescent="0.25">
      <c r="A59" t="s">
        <v>80</v>
      </c>
      <c r="B59" s="3">
        <v>30</v>
      </c>
      <c r="C59" t="s">
        <v>9</v>
      </c>
    </row>
    <row r="60" spans="1:3" s="2" customFormat="1" x14ac:dyDescent="0.25">
      <c r="A60" s="2" t="s">
        <v>81</v>
      </c>
      <c r="B60" s="2"/>
      <c r="C60" s="2"/>
    </row>
    <row r="61" spans="1:3" x14ac:dyDescent="0.25">
      <c r="A61" t="s">
        <v>82</v>
      </c>
      <c r="B61" s="3">
        <v>2394</v>
      </c>
      <c r="C61" t="s">
        <v>83</v>
      </c>
    </row>
    <row r="62" spans="1:3" x14ac:dyDescent="0.25">
      <c r="A62" t="s">
        <v>84</v>
      </c>
      <c r="B62" s="3">
        <v>20</v>
      </c>
      <c r="C62" t="s">
        <v>9</v>
      </c>
    </row>
    <row r="63" spans="1:3" x14ac:dyDescent="0.25">
      <c r="A63" t="s">
        <v>85</v>
      </c>
      <c r="B63" s="3">
        <v>40000</v>
      </c>
      <c r="C63" t="s">
        <v>86</v>
      </c>
    </row>
    <row r="64" spans="1:3" x14ac:dyDescent="0.25">
      <c r="A64" t="s">
        <v>87</v>
      </c>
      <c r="B64" s="3">
        <v>97200</v>
      </c>
      <c r="C64" t="s">
        <v>86</v>
      </c>
    </row>
    <row r="65" spans="1:3" s="2" customFormat="1" x14ac:dyDescent="0.25">
      <c r="A65" s="2" t="s">
        <v>88</v>
      </c>
      <c r="B65" s="2"/>
      <c r="C65" s="2"/>
    </row>
    <row r="66" spans="1:3" x14ac:dyDescent="0.25">
      <c r="A66" t="s">
        <v>89</v>
      </c>
      <c r="B66" s="3">
        <v>9.99</v>
      </c>
      <c r="C66" t="s">
        <v>9</v>
      </c>
    </row>
    <row r="67" spans="1:3" x14ac:dyDescent="0.25">
      <c r="A67" t="s">
        <v>90</v>
      </c>
      <c r="B67" s="3">
        <v>151</v>
      </c>
      <c r="C67" t="s">
        <v>91</v>
      </c>
    </row>
    <row r="68" spans="1:3" x14ac:dyDescent="0.25">
      <c r="A68" t="s">
        <v>92</v>
      </c>
      <c r="B68" s="3">
        <v>25</v>
      </c>
      <c r="C68" t="s">
        <v>7</v>
      </c>
    </row>
    <row r="69" spans="1:3" x14ac:dyDescent="0.25">
      <c r="A69" t="s">
        <v>93</v>
      </c>
      <c r="B69" s="3">
        <v>10</v>
      </c>
      <c r="C69" t="s">
        <v>7</v>
      </c>
    </row>
    <row r="70" spans="1:3" x14ac:dyDescent="0.25">
      <c r="A70" t="s">
        <v>94</v>
      </c>
      <c r="B70" s="3">
        <v>5000000</v>
      </c>
      <c r="C70" t="s">
        <v>31</v>
      </c>
    </row>
  </sheetData>
  <mergeCells count="9">
    <mergeCell ref="A2:C2"/>
    <mergeCell ref="A10:C10"/>
    <mergeCell ref="A22:C22"/>
    <mergeCell ref="A29:C29"/>
    <mergeCell ref="A35:C35"/>
    <mergeCell ref="A45:C45"/>
    <mergeCell ref="A54:C54"/>
    <mergeCell ref="A60:C60"/>
    <mergeCell ref="A65:C6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4" customWidth="1"/>
    <col min="2" max="12" width="16" customWidth="1"/>
  </cols>
  <sheetData>
    <row r="1" spans="1:12" x14ac:dyDescent="0.25">
      <c r="A1" s="4" t="s">
        <v>95</v>
      </c>
      <c r="B1" s="5" t="s">
        <v>96</v>
      </c>
      <c r="C1" s="5" t="s">
        <v>97</v>
      </c>
      <c r="D1" s="5" t="s">
        <v>98</v>
      </c>
      <c r="E1" s="5" t="s">
        <v>99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  <c r="K1" s="5" t="s">
        <v>105</v>
      </c>
      <c r="L1" s="5" t="s">
        <v>106</v>
      </c>
    </row>
    <row r="4" ht="20" customHeight="1" spans="1:12" x14ac:dyDescent="0.25">
      <c r="A4" s="6" t="s">
        <v>107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20" customHeight="1" spans="1:12" x14ac:dyDescent="0.25">
      <c r="A5" t="s">
        <v>108</v>
      </c>
      <c r="B5" s="7">
        <f>0</f>
      </c>
      <c r="C5" s="7">
        <f>Parámetros!$B$9</f>
      </c>
      <c r="D5" s="7">
        <f>(Parámetros!$B$3-Parámetros!$B$9)/(Parámetros!$B$4-1)</f>
      </c>
      <c r="E5" s="7">
        <f>(Parámetros!$B$3-Parámetros!$B$9)/(Parámetros!$B$4-1)</f>
      </c>
      <c r="F5" s="7">
        <f>(Parámetros!$B$3-Parámetros!$B$9)/(Parámetros!$B$4-1)</f>
      </c>
      <c r="G5" s="7">
        <f>(Parámetros!$B$3-Parámetros!$B$9)/(Parámetros!$B$4-1)</f>
      </c>
      <c r="H5" s="7">
        <f>(Parámetros!$B$3-Parámetros!$B$9)/(Parámetros!$B$4-1)</f>
      </c>
      <c r="I5" s="7">
        <f>(Parámetros!$B$3-Parámetros!$B$9)/(Parámetros!$B$4-1)</f>
      </c>
      <c r="J5" s="7">
        <f>(Parámetros!$B$3-Parámetros!$B$9)/(Parámetros!$B$4-1)</f>
      </c>
      <c r="K5" s="7">
        <f>(Parámetros!$B$3-Parámetros!$B$9)/(Parámetros!$B$4-1)</f>
      </c>
      <c r="L5" s="7">
        <f>(Parámetros!$B$3-Parámetros!$B$9)/(Parámetros!$B$4-1)</f>
      </c>
    </row>
    <row r="6" ht="20" customHeight="1" spans="1:12" x14ac:dyDescent="0.25">
      <c r="A6" t="s">
        <v>109</v>
      </c>
      <c r="B6" s="7">
        <f>0</f>
      </c>
      <c r="C6" s="7">
        <f>SUM(C5:C5)</f>
      </c>
      <c r="D6" s="7">
        <f>SUM(C5:D5)</f>
      </c>
      <c r="E6" s="7">
        <f>SUM(C5:E5)</f>
      </c>
      <c r="F6" s="7">
        <f>SUM(C5:F5)</f>
      </c>
      <c r="G6" s="7">
        <f>SUM(C5:G5)</f>
      </c>
      <c r="H6" s="7">
        <f>SUM(C5:H5)</f>
      </c>
      <c r="I6" s="7">
        <f>SUM(C5:I5)</f>
      </c>
      <c r="J6" s="7">
        <f>SUM(C5:J5)</f>
      </c>
      <c r="K6" s="7">
        <f>SUM(C5:K5)</f>
      </c>
      <c r="L6" s="7">
        <f>SUM(C5:L5)</f>
      </c>
    </row>
    <row r="7" ht="20" customHeight="1" spans="1:12" x14ac:dyDescent="0.25">
      <c r="A7" t="s">
        <v>110</v>
      </c>
      <c r="B7" s="8">
        <f>0</f>
      </c>
      <c r="C7" s="8">
        <f>C6/Parámetros!$B$3</f>
      </c>
      <c r="D7" s="8">
        <f>D6/Parámetros!$B$3</f>
      </c>
      <c r="E7" s="8">
        <f>E6/Parámetros!$B$3</f>
      </c>
      <c r="F7" s="8">
        <f>F6/Parámetros!$B$3</f>
      </c>
      <c r="G7" s="8">
        <f>G6/Parámetros!$B$3</f>
      </c>
      <c r="H7" s="8">
        <f>H6/Parámetros!$B$3</f>
      </c>
      <c r="I7" s="8">
        <f>I6/Parámetros!$B$3</f>
      </c>
      <c r="J7" s="8">
        <f>J6/Parámetros!$B$3</f>
      </c>
      <c r="K7" s="8">
        <f>K6/Parámetros!$B$3</f>
      </c>
      <c r="L7" s="8">
        <f>L6/Parámetros!$B$3</f>
      </c>
    </row>
    <row r="8" ht="20" customHeight="1" x14ac:dyDescent="0.25"/>
    <row r="9" ht="20" customHeight="1" spans="1:12" x14ac:dyDescent="0.25">
      <c r="A9" s="9" t="s">
        <v>111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20" customHeight="1" spans="1:12" x14ac:dyDescent="0.25">
      <c r="A10" s="10" t="s">
        <v>112</v>
      </c>
      <c r="B10" s="11">
        <f>Parámetros!$B$25/100*Parámetros!$B$23+Parámetros!$B$24</f>
      </c>
      <c r="C10" s="11">
        <f>Parámetros!$B$26/100*Parámetros!$B$23</f>
      </c>
      <c r="D10" s="11">
        <f>Parámetros!$B$27/100*Parámetros!$B$23</f>
      </c>
      <c r="E10" s="11">
        <f>Parámetros!$B$28/100*Parámetros!$B$23</f>
      </c>
      <c r="F10" s="11">
        <f>0</f>
      </c>
      <c r="G10" s="11">
        <f>0</f>
      </c>
      <c r="H10" s="11">
        <f>0</f>
      </c>
      <c r="I10" s="11">
        <f>0</f>
      </c>
      <c r="J10" s="11">
        <f>0</f>
      </c>
      <c r="K10" s="11">
        <f>0</f>
      </c>
      <c r="L10" s="11">
        <f>0</f>
      </c>
    </row>
    <row r="11" ht="20" customHeight="1" spans="1:12" x14ac:dyDescent="0.25">
      <c r="A11" s="10" t="s">
        <v>113</v>
      </c>
      <c r="B11" s="11">
        <f>0</f>
      </c>
      <c r="C11" s="11">
        <f>C5*(((1-Parámetros!$B$8/100)*Parámetros!$B$11+(Parámetros!$B$8/100)*Parámetros!$B$12)+((Parámetros!$B$6/100)*Parámetros!$B$13+(Parámetros!$B$7/100)*Parámetros!$B$14+((100-Parámetros!$B$6-Parámetros!$B$7)/100)*Parámetros!$B$15))</f>
      </c>
      <c r="D11" s="11">
        <f>D5*(((1-Parámetros!$B$8/100)*Parámetros!$B$11+(Parámetros!$B$8/100)*Parámetros!$B$12)+((Parámetros!$B$6/100)*Parámetros!$B$13+(Parámetros!$B$7/100)*Parámetros!$B$14+((100-Parámetros!$B$6-Parámetros!$B$7)/100)*Parámetros!$B$15))</f>
      </c>
      <c r="E11" s="11">
        <f>E5*(((1-Parámetros!$B$8/100)*Parámetros!$B$11+(Parámetros!$B$8/100)*Parámetros!$B$12)+((Parámetros!$B$6/100)*Parámetros!$B$13+(Parámetros!$B$7/100)*Parámetros!$B$14+((100-Parámetros!$B$6-Parámetros!$B$7)/100)*Parámetros!$B$15))</f>
      </c>
      <c r="F11" s="11">
        <f>F5*(((1-Parámetros!$B$8/100)*Parámetros!$B$11+(Parámetros!$B$8/100)*Parámetros!$B$12)+((Parámetros!$B$6/100)*Parámetros!$B$13+(Parámetros!$B$7/100)*Parámetros!$B$14+((100-Parámetros!$B$6-Parámetros!$B$7)/100)*Parámetros!$B$15))</f>
      </c>
      <c r="G11" s="11">
        <f>G5*(((1-Parámetros!$B$8/100)*Parámetros!$B$11+(Parámetros!$B$8/100)*Parámetros!$B$12)+((Parámetros!$B$6/100)*Parámetros!$B$13+(Parámetros!$B$7/100)*Parámetros!$B$14+((100-Parámetros!$B$6-Parámetros!$B$7)/100)*Parámetros!$B$15))</f>
      </c>
      <c r="H11" s="11">
        <f>H5*(((1-Parámetros!$B$8/100)*Parámetros!$B$11+(Parámetros!$B$8/100)*Parámetros!$B$12)+((Parámetros!$B$6/100)*Parámetros!$B$13+(Parámetros!$B$7/100)*Parámetros!$B$14+((100-Parámetros!$B$6-Parámetros!$B$7)/100)*Parámetros!$B$15))</f>
      </c>
      <c r="I11" s="11">
        <f>I5*(((1-Parámetros!$B$8/100)*Parámetros!$B$11+(Parámetros!$B$8/100)*Parámetros!$B$12)+((Parámetros!$B$6/100)*Parámetros!$B$13+(Parámetros!$B$7/100)*Parámetros!$B$14+((100-Parámetros!$B$6-Parámetros!$B$7)/100)*Parámetros!$B$15))</f>
      </c>
      <c r="J11" s="11">
        <f>J5*(((1-Parámetros!$B$8/100)*Parámetros!$B$11+(Parámetros!$B$8/100)*Parámetros!$B$12)+((Parámetros!$B$6/100)*Parámetros!$B$13+(Parámetros!$B$7/100)*Parámetros!$B$14+((100-Parámetros!$B$6-Parámetros!$B$7)/100)*Parámetros!$B$15))</f>
      </c>
      <c r="K11" s="11">
        <f>K5*(((1-Parámetros!$B$8/100)*Parámetros!$B$11+(Parámetros!$B$8/100)*Parámetros!$B$12)+((Parámetros!$B$6/100)*Parámetros!$B$13+(Parámetros!$B$7/100)*Parámetros!$B$14+((100-Parámetros!$B$6-Parámetros!$B$7)/100)*Parámetros!$B$15))</f>
      </c>
      <c r="L11" s="11">
        <f>L5*(((1-Parámetros!$B$8/100)*Parámetros!$B$11+(Parámetros!$B$8/100)*Parámetros!$B$12)+((Parámetros!$B$6/100)*Parámetros!$B$13+(Parámetros!$B$7/100)*Parámetros!$B$14+((100-Parámetros!$B$6-Parámetros!$B$7)/100)*Parámetros!$B$15))</f>
      </c>
    </row>
    <row r="12" ht="20" customHeight="1" spans="1:12" x14ac:dyDescent="0.25">
      <c r="A12" s="10" t="s">
        <v>114</v>
      </c>
      <c r="B12" s="11">
        <f>0</f>
      </c>
      <c r="C12" s="11">
        <f>C5*(Parámetros!$B$16+Parámetros!$B$17)</f>
      </c>
      <c r="D12" s="11">
        <f>D5*(Parámetros!$B$16+Parámetros!$B$17)</f>
      </c>
      <c r="E12" s="11">
        <f>E5*(Parámetros!$B$16+Parámetros!$B$17)</f>
      </c>
      <c r="F12" s="11">
        <f>F5*(Parámetros!$B$16+Parámetros!$B$17)</f>
      </c>
      <c r="G12" s="11">
        <f>G5*(Parámetros!$B$16+Parámetros!$B$17)</f>
      </c>
      <c r="H12" s="11">
        <f>H5*(Parámetros!$B$16+Parámetros!$B$17)</f>
      </c>
      <c r="I12" s="11">
        <f>I5*(Parámetros!$B$16+Parámetros!$B$17)</f>
      </c>
      <c r="J12" s="11">
        <f>J5*(Parámetros!$B$16+Parámetros!$B$17)</f>
      </c>
      <c r="K12" s="11">
        <f>K5*(Parámetros!$B$16+Parámetros!$B$17)</f>
      </c>
      <c r="L12" s="11">
        <f>L5*(Parámetros!$B$16+Parámetros!$B$17)</f>
      </c>
    </row>
    <row r="13" ht="20" customHeight="1" spans="1:12" x14ac:dyDescent="0.25">
      <c r="A13" s="10" t="s">
        <v>115</v>
      </c>
      <c r="B13" s="11">
        <f>0</f>
      </c>
      <c r="C13" s="11">
        <f>(C5*Parámetros!$B$7/100)/Parámetros!$B$20*Parámetros!$B$18+(C5*Parámetros!$B$6/100)/Parámetros!$B$21*Parámetros!$B$19</f>
      </c>
      <c r="D13" s="11">
        <f>(D5*Parámetros!$B$7/100)/Parámetros!$B$20*Parámetros!$B$18+(D5*Parámetros!$B$6/100)/Parámetros!$B$21*Parámetros!$B$19</f>
      </c>
      <c r="E13" s="11">
        <f>(E5*Parámetros!$B$7/100)/Parámetros!$B$20*Parámetros!$B$18+(E5*Parámetros!$B$6/100)/Parámetros!$B$21*Parámetros!$B$19</f>
      </c>
      <c r="F13" s="11">
        <f>(F5*Parámetros!$B$7/100)/Parámetros!$B$20*Parámetros!$B$18+(F5*Parámetros!$B$6/100)/Parámetros!$B$21*Parámetros!$B$19</f>
      </c>
      <c r="G13" s="11">
        <f>(G5*Parámetros!$B$7/100)/Parámetros!$B$20*Parámetros!$B$18+(G5*Parámetros!$B$6/100)/Parámetros!$B$21*Parámetros!$B$19</f>
      </c>
      <c r="H13" s="11">
        <f>(H5*Parámetros!$B$7/100)/Parámetros!$B$20*Parámetros!$B$18+(H5*Parámetros!$B$6/100)/Parámetros!$B$21*Parámetros!$B$19</f>
      </c>
      <c r="I13" s="11">
        <f>(I5*Parámetros!$B$7/100)/Parámetros!$B$20*Parámetros!$B$18+(I5*Parámetros!$B$6/100)/Parámetros!$B$21*Parámetros!$B$19</f>
      </c>
      <c r="J13" s="11">
        <f>(J5*Parámetros!$B$7/100)/Parámetros!$B$20*Parámetros!$B$18+(J5*Parámetros!$B$6/100)/Parámetros!$B$21*Parámetros!$B$19</f>
      </c>
      <c r="K13" s="11">
        <f>(K5*Parámetros!$B$7/100)/Parámetros!$B$20*Parámetros!$B$18+(K5*Parámetros!$B$6/100)/Parámetros!$B$21*Parámetros!$B$19</f>
      </c>
      <c r="L13" s="11">
        <f>(L5*Parámetros!$B$7/100)/Parámetros!$B$20*Parámetros!$B$18+(L5*Parámetros!$B$6/100)/Parámetros!$B$21*Parámetros!$B$19</f>
      </c>
    </row>
    <row r="14" ht="20" customHeight="1" spans="1:12" x14ac:dyDescent="0.25">
      <c r="A14" s="12" t="s">
        <v>116</v>
      </c>
      <c r="B14" s="13">
        <f>B10+B11+B12+B13</f>
      </c>
      <c r="C14" s="13">
        <f>C10+C11+C12+C13</f>
      </c>
      <c r="D14" s="13">
        <f>D10+D11+D12+D13</f>
      </c>
      <c r="E14" s="13">
        <f>E10+E11+E12+E13</f>
      </c>
      <c r="F14" s="13">
        <f>F10+F11+F12+F13</f>
      </c>
      <c r="G14" s="13">
        <f>G10+G11+G12+G13</f>
      </c>
      <c r="H14" s="13">
        <f>H10+H11+H12+H13</f>
      </c>
      <c r="I14" s="13">
        <f>I10+I11+I12+I13</f>
      </c>
      <c r="J14" s="13">
        <f>J10+J11+J12+J13</f>
      </c>
      <c r="K14" s="13">
        <f>K10+K11+K12+K13</f>
      </c>
      <c r="L14" s="13">
        <f>L10+L11+L12+L13</f>
      </c>
    </row>
    <row r="15" ht="20" customHeight="1" x14ac:dyDescent="0.25"/>
    <row r="16" ht="20" customHeight="1" spans="1:12" x14ac:dyDescent="0.25">
      <c r="A16" s="14" t="s">
        <v>117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ht="20" customHeight="1" spans="1:12" x14ac:dyDescent="0.25">
      <c r="A17" s="15" t="s">
        <v>118</v>
      </c>
      <c r="B17" s="16">
        <f>0</f>
      </c>
      <c r="C17" s="16">
        <f>Parámetros!$B$30</f>
      </c>
      <c r="D17" s="16">
        <f>Parámetros!$B$30</f>
      </c>
      <c r="E17" s="16">
        <f>Parámetros!$B$30</f>
      </c>
      <c r="F17" s="16">
        <f>Parámetros!$B$30</f>
      </c>
      <c r="G17" s="16">
        <f>Parámetros!$B$30</f>
      </c>
      <c r="H17" s="16">
        <f>Parámetros!$B$30</f>
      </c>
      <c r="I17" s="16">
        <f>Parámetros!$B$30</f>
      </c>
      <c r="J17" s="16">
        <f>Parámetros!$B$30</f>
      </c>
      <c r="K17" s="16">
        <f>Parámetros!$B$30</f>
      </c>
      <c r="L17" s="16">
        <f>Parámetros!$B$30</f>
      </c>
    </row>
    <row r="18" ht="20" customHeight="1" spans="1:12" x14ac:dyDescent="0.25">
      <c r="A18" s="15" t="s">
        <v>119</v>
      </c>
      <c r="B18" s="16">
        <f>0</f>
      </c>
      <c r="C18" s="16">
        <f>Parámetros!$B$31</f>
      </c>
      <c r="D18" s="16">
        <f>Parámetros!$B$31</f>
      </c>
      <c r="E18" s="16">
        <f>Parámetros!$B$31</f>
      </c>
      <c r="F18" s="16">
        <f>Parámetros!$B$31</f>
      </c>
      <c r="G18" s="16">
        <f>Parámetros!$B$31</f>
      </c>
      <c r="H18" s="16">
        <f>Parámetros!$B$31</f>
      </c>
      <c r="I18" s="16">
        <f>Parámetros!$B$31</f>
      </c>
      <c r="J18" s="16">
        <f>Parámetros!$B$31</f>
      </c>
      <c r="K18" s="16">
        <f>Parámetros!$B$31</f>
      </c>
      <c r="L18" s="16">
        <f>Parámetros!$B$31</f>
      </c>
    </row>
    <row r="19" ht="20" customHeight="1" spans="1:12" x14ac:dyDescent="0.25">
      <c r="A19" s="15" t="s">
        <v>120</v>
      </c>
      <c r="B19" s="16">
        <f>0</f>
      </c>
      <c r="C19" s="16">
        <f>Parámetros!$B$32</f>
      </c>
      <c r="D19" s="16">
        <f>Parámetros!$B$32</f>
      </c>
      <c r="E19" s="16">
        <f>Parámetros!$B$32</f>
      </c>
      <c r="F19" s="16">
        <f>Parámetros!$B$32</f>
      </c>
      <c r="G19" s="16">
        <f>Parámetros!$B$32</f>
      </c>
      <c r="H19" s="16">
        <f>Parámetros!$B$32</f>
      </c>
      <c r="I19" s="16">
        <f>Parámetros!$B$32</f>
      </c>
      <c r="J19" s="16">
        <f>Parámetros!$B$32</f>
      </c>
      <c r="K19" s="16">
        <f>Parámetros!$B$32</f>
      </c>
      <c r="L19" s="16">
        <f>Parámetros!$B$32</f>
      </c>
    </row>
    <row r="20" ht="20" customHeight="1" spans="1:12" x14ac:dyDescent="0.25">
      <c r="A20" s="15" t="s">
        <v>121</v>
      </c>
      <c r="B20" s="16">
        <f>0</f>
      </c>
      <c r="C20" s="16">
        <f>C6*((100-Parámetros!$B$6-Parámetros!$B$7)/100)*Parámetros!$B$33*12</f>
      </c>
      <c r="D20" s="16">
        <f>D6*((100-Parámetros!$B$6-Parámetros!$B$7)/100)*Parámetros!$B$33*12</f>
      </c>
      <c r="E20" s="16">
        <f>E6*((100-Parámetros!$B$6-Parámetros!$B$7)/100)*Parámetros!$B$33*12</f>
      </c>
      <c r="F20" s="16">
        <f>F6*((100-Parámetros!$B$6-Parámetros!$B$7)/100)*Parámetros!$B$33*12</f>
      </c>
      <c r="G20" s="16">
        <f>G6*((100-Parámetros!$B$6-Parámetros!$B$7)/100)*Parámetros!$B$33*12</f>
      </c>
      <c r="H20" s="16">
        <f>H6*((100-Parámetros!$B$6-Parámetros!$B$7)/100)*Parámetros!$B$33*12</f>
      </c>
      <c r="I20" s="16">
        <f>I6*((100-Parámetros!$B$6-Parámetros!$B$7)/100)*Parámetros!$B$33*12</f>
      </c>
      <c r="J20" s="16">
        <f>J6*((100-Parámetros!$B$6-Parámetros!$B$7)/100)*Parámetros!$B$33*12</f>
      </c>
      <c r="K20" s="16">
        <f>K6*((100-Parámetros!$B$6-Parámetros!$B$7)/100)*Parámetros!$B$33*12</f>
      </c>
      <c r="L20" s="16">
        <f>L6*((100-Parámetros!$B$6-Parámetros!$B$7)/100)*Parámetros!$B$33*12</f>
      </c>
    </row>
    <row r="21" ht="20" customHeight="1" spans="1:12" x14ac:dyDescent="0.25">
      <c r="A21" s="15" t="s">
        <v>122</v>
      </c>
      <c r="B21" s="16">
        <f>0</f>
      </c>
      <c r="C21" s="16">
        <f>Parámetros!$B$34*12</f>
      </c>
      <c r="D21" s="16">
        <f>Parámetros!$B$34*12</f>
      </c>
      <c r="E21" s="16">
        <f>Parámetros!$B$34*12</f>
      </c>
      <c r="F21" s="16">
        <f>Parámetros!$B$34*12</f>
      </c>
      <c r="G21" s="16">
        <f>Parámetros!$B$34*12</f>
      </c>
      <c r="H21" s="16">
        <f>Parámetros!$B$34*12</f>
      </c>
      <c r="I21" s="16">
        <f>Parámetros!$B$34*12</f>
      </c>
      <c r="J21" s="16">
        <f>Parámetros!$B$34*12</f>
      </c>
      <c r="K21" s="16">
        <f>Parámetros!$B$34*12</f>
      </c>
      <c r="L21" s="16">
        <f>Parámetros!$B$34*12</f>
      </c>
    </row>
    <row r="22" ht="20" customHeight="1" spans="1:12" x14ac:dyDescent="0.25">
      <c r="A22" s="17" t="s">
        <v>123</v>
      </c>
      <c r="B22" s="18">
        <f>B17+B18+B19+B20+B21</f>
      </c>
      <c r="C22" s="18">
        <f>C17+C18+C19+C20+C21</f>
      </c>
      <c r="D22" s="18">
        <f>D17+D18+D19+D20+D21</f>
      </c>
      <c r="E22" s="18">
        <f>E17+E18+E19+E20+E21</f>
      </c>
      <c r="F22" s="18">
        <f>F17+F18+F19+F20+F21</f>
      </c>
      <c r="G22" s="18">
        <f>G17+G18+G19+G20+G21</f>
      </c>
      <c r="H22" s="18">
        <f>H17+H18+H19+H20+H21</f>
      </c>
      <c r="I22" s="18">
        <f>I17+I18+I19+I20+I21</f>
      </c>
      <c r="J22" s="18">
        <f>J17+J18+J19+J20+J21</f>
      </c>
      <c r="K22" s="18">
        <f>K17+K18+K19+K20+K21</f>
      </c>
      <c r="L22" s="18">
        <f>L17+L18+L19+L20+L21</f>
      </c>
    </row>
    <row r="23" ht="20" customHeight="1" x14ac:dyDescent="0.25"/>
    <row r="24" ht="20" customHeight="1" spans="1:12" x14ac:dyDescent="0.25">
      <c r="A24" s="19" t="s">
        <v>124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20" customHeight="1" spans="1:12" x14ac:dyDescent="0.25">
      <c r="A25" s="20" t="s">
        <v>125</v>
      </c>
      <c r="B25" s="21">
        <f>0</f>
      </c>
      <c r="C25" s="21">
        <f>Parámetros!$B$36*Parámetros!$B$37*C7</f>
      </c>
      <c r="D25" s="21">
        <f>Parámetros!$B$36*Parámetros!$B$37*D7</f>
      </c>
      <c r="E25" s="21">
        <f>Parámetros!$B$36*Parámetros!$B$37*E7</f>
      </c>
      <c r="F25" s="21">
        <f>Parámetros!$B$36*Parámetros!$B$37*F7</f>
      </c>
      <c r="G25" s="21">
        <f>Parámetros!$B$36*Parámetros!$B$37*G7</f>
      </c>
      <c r="H25" s="21">
        <f>Parámetros!$B$36*Parámetros!$B$37*H7</f>
      </c>
      <c r="I25" s="21">
        <f>Parámetros!$B$36*Parámetros!$B$37*I7</f>
      </c>
      <c r="J25" s="21">
        <f>Parámetros!$B$36*Parámetros!$B$37*J7</f>
      </c>
      <c r="K25" s="21">
        <f>Parámetros!$B$36*Parámetros!$B$37*K7</f>
      </c>
      <c r="L25" s="21">
        <f>Parámetros!$B$36*Parámetros!$B$37*L7</f>
      </c>
    </row>
    <row r="26" ht="20" customHeight="1" spans="1:12" x14ac:dyDescent="0.25">
      <c r="A26" s="20" t="s">
        <v>126</v>
      </c>
      <c r="B26" s="21">
        <f>0</f>
      </c>
      <c r="C26" s="21">
        <f>(Parámetros!$B$38+Parámetros!$B$39)*Parámetros!$B$40*C7</f>
      </c>
      <c r="D26" s="21">
        <f>(Parámetros!$B$38+Parámetros!$B$39)*Parámetros!$B$40*D7</f>
      </c>
      <c r="E26" s="21">
        <f>(Parámetros!$B$38+Parámetros!$B$39)*Parámetros!$B$40*E7</f>
      </c>
      <c r="F26" s="21">
        <f>(Parámetros!$B$38+Parámetros!$B$39)*Parámetros!$B$40*F7</f>
      </c>
      <c r="G26" s="21">
        <f>(Parámetros!$B$38+Parámetros!$B$39)*Parámetros!$B$40*G7</f>
      </c>
      <c r="H26" s="21">
        <f>(Parámetros!$B$38+Parámetros!$B$39)*Parámetros!$B$40*H7</f>
      </c>
      <c r="I26" s="21">
        <f>(Parámetros!$B$38+Parámetros!$B$39)*Parámetros!$B$40*I7</f>
      </c>
      <c r="J26" s="21">
        <f>(Parámetros!$B$38+Parámetros!$B$39)*Parámetros!$B$40*J7</f>
      </c>
      <c r="K26" s="21">
        <f>(Parámetros!$B$38+Parámetros!$B$39)*Parámetros!$B$40*K7</f>
      </c>
      <c r="L26" s="21">
        <f>(Parámetros!$B$38+Parámetros!$B$39)*Parámetros!$B$40*L7</f>
      </c>
    </row>
    <row r="27" ht="20" customHeight="1" spans="1:12" x14ac:dyDescent="0.25">
      <c r="A27" s="20" t="s">
        <v>127</v>
      </c>
      <c r="B27" s="21">
        <f>0</f>
      </c>
      <c r="C27" s="21">
        <f>(Parámetros!$B$41+Parámetros!$B$42+Parámetros!$B$43)*Parámetros!$B$44*C7</f>
      </c>
      <c r="D27" s="21">
        <f>(Parámetros!$B$41+Parámetros!$B$42+Parámetros!$B$43)*Parámetros!$B$44*D7</f>
      </c>
      <c r="E27" s="21">
        <f>(Parámetros!$B$41+Parámetros!$B$42+Parámetros!$B$43)*Parámetros!$B$44*E7</f>
      </c>
      <c r="F27" s="21">
        <f>(Parámetros!$B$41+Parámetros!$B$42+Parámetros!$B$43)*Parámetros!$B$44*F7</f>
      </c>
      <c r="G27" s="21">
        <f>(Parámetros!$B$41+Parámetros!$B$42+Parámetros!$B$43)*Parámetros!$B$44*G7</f>
      </c>
      <c r="H27" s="21">
        <f>(Parámetros!$B$41+Parámetros!$B$42+Parámetros!$B$43)*Parámetros!$B$44*H7</f>
      </c>
      <c r="I27" s="21">
        <f>(Parámetros!$B$41+Parámetros!$B$42+Parámetros!$B$43)*Parámetros!$B$44*I7</f>
      </c>
      <c r="J27" s="21">
        <f>(Parámetros!$B$41+Parámetros!$B$42+Parámetros!$B$43)*Parámetros!$B$44*J7</f>
      </c>
      <c r="K27" s="21">
        <f>(Parámetros!$B$41+Parámetros!$B$42+Parámetros!$B$43)*Parámetros!$B$44*K7</f>
      </c>
      <c r="L27" s="21">
        <f>(Parámetros!$B$41+Parámetros!$B$42+Parámetros!$B$43)*Parámetros!$B$44*L7</f>
      </c>
    </row>
    <row r="28" ht="20" customHeight="1" spans="1:12" x14ac:dyDescent="0.25">
      <c r="A28" s="20" t="s">
        <v>128</v>
      </c>
      <c r="B28" s="21">
        <f>0</f>
      </c>
      <c r="C28" s="21">
        <f>Parámetros!$B$46*(Parámetros!$B$47/100)*Parámetros!$B$48*C7</f>
      </c>
      <c r="D28" s="21">
        <f>Parámetros!$B$46*(Parámetros!$B$47/100)*Parámetros!$B$48*D7</f>
      </c>
      <c r="E28" s="21">
        <f>Parámetros!$B$46*(Parámetros!$B$47/100)*Parámetros!$B$48*E7</f>
      </c>
      <c r="F28" s="21">
        <f>Parámetros!$B$46*(Parámetros!$B$47/100)*Parámetros!$B$48*F7</f>
      </c>
      <c r="G28" s="21">
        <f>Parámetros!$B$46*(Parámetros!$B$47/100)*Parámetros!$B$48*G7</f>
      </c>
      <c r="H28" s="21">
        <f>Parámetros!$B$46*(Parámetros!$B$47/100)*Parámetros!$B$48*H7</f>
      </c>
      <c r="I28" s="21">
        <f>Parámetros!$B$46*(Parámetros!$B$47/100)*Parámetros!$B$48*I7</f>
      </c>
      <c r="J28" s="21">
        <f>Parámetros!$B$46*(Parámetros!$B$47/100)*Parámetros!$B$48*J7</f>
      </c>
      <c r="K28" s="21">
        <f>Parámetros!$B$46*(Parámetros!$B$47/100)*Parámetros!$B$48*K7</f>
      </c>
      <c r="L28" s="21">
        <f>Parámetros!$B$46*(Parámetros!$B$47/100)*Parámetros!$B$48*L7</f>
      </c>
    </row>
    <row r="29" ht="20" customHeight="1" spans="1:12" x14ac:dyDescent="0.25">
      <c r="A29" s="20" t="s">
        <v>129</v>
      </c>
      <c r="B29" s="21">
        <f>0</f>
      </c>
      <c r="C29" s="21">
        <f>Parámetros!$B$49*C7</f>
      </c>
      <c r="D29" s="21">
        <f>Parámetros!$B$49*D7</f>
      </c>
      <c r="E29" s="21">
        <f>Parámetros!$B$49*E7</f>
      </c>
      <c r="F29" s="21">
        <f>Parámetros!$B$49*F7</f>
      </c>
      <c r="G29" s="21">
        <f>Parámetros!$B$49*G7</f>
      </c>
      <c r="H29" s="21">
        <f>Parámetros!$B$49*H7</f>
      </c>
      <c r="I29" s="21">
        <f>Parámetros!$B$49*I7</f>
      </c>
      <c r="J29" s="21">
        <f>Parámetros!$B$49*J7</f>
      </c>
      <c r="K29" s="21">
        <f>Parámetros!$B$49*K7</f>
      </c>
      <c r="L29" s="21">
        <f>Parámetros!$B$49*L7</f>
      </c>
    </row>
    <row r="30" ht="20" customHeight="1" spans="1:12" x14ac:dyDescent="0.25">
      <c r="A30" s="20" t="s">
        <v>130</v>
      </c>
      <c r="B30" s="21">
        <f>0</f>
      </c>
      <c r="C30" s="21">
        <f>Parámetros!$B$50*(Parámetros!$B$51/100)*C7</f>
      </c>
      <c r="D30" s="21">
        <f>Parámetros!$B$50*(Parámetros!$B$51/100)*D7</f>
      </c>
      <c r="E30" s="21">
        <f>Parámetros!$B$50*(Parámetros!$B$51/100)*E7</f>
      </c>
      <c r="F30" s="21">
        <f>Parámetros!$B$50*(Parámetros!$B$51/100)*F7</f>
      </c>
      <c r="G30" s="21">
        <f>Parámetros!$B$50*(Parámetros!$B$51/100)*G7</f>
      </c>
      <c r="H30" s="21">
        <f>Parámetros!$B$50*(Parámetros!$B$51/100)*H7</f>
      </c>
      <c r="I30" s="21">
        <f>Parámetros!$B$50*(Parámetros!$B$51/100)*I7</f>
      </c>
      <c r="J30" s="21">
        <f>Parámetros!$B$50*(Parámetros!$B$51/100)*J7</f>
      </c>
      <c r="K30" s="21">
        <f>Parámetros!$B$50*(Parámetros!$B$51/100)*K7</f>
      </c>
      <c r="L30" s="21">
        <f>Parámetros!$B$50*(Parámetros!$B$51/100)*L7</f>
      </c>
    </row>
    <row r="31" ht="20" customHeight="1" spans="1:12" x14ac:dyDescent="0.25">
      <c r="A31" s="20" t="s">
        <v>131</v>
      </c>
      <c r="B31" s="21">
        <f>0</f>
      </c>
      <c r="C31" s="21">
        <f>Parámetros!$B$52*(Parámetros!$B$53/100)*C7</f>
      </c>
      <c r="D31" s="21">
        <f>Parámetros!$B$52*(Parámetros!$B$53/100)*D7</f>
      </c>
      <c r="E31" s="21">
        <f>Parámetros!$B$52*(Parámetros!$B$53/100)*E7</f>
      </c>
      <c r="F31" s="21">
        <f>Parámetros!$B$52*(Parámetros!$B$53/100)*F7</f>
      </c>
      <c r="G31" s="21">
        <f>Parámetros!$B$52*(Parámetros!$B$53/100)*G7</f>
      </c>
      <c r="H31" s="21">
        <f>Parámetros!$B$52*(Parámetros!$B$53/100)*H7</f>
      </c>
      <c r="I31" s="21">
        <f>Parámetros!$B$52*(Parámetros!$B$53/100)*I7</f>
      </c>
      <c r="J31" s="21">
        <f>Parámetros!$B$52*(Parámetros!$B$53/100)*J7</f>
      </c>
      <c r="K31" s="21">
        <f>Parámetros!$B$52*(Parámetros!$B$53/100)*K7</f>
      </c>
      <c r="L31" s="21">
        <f>Parámetros!$B$52*(Parámetros!$B$53/100)*L7</f>
      </c>
    </row>
    <row r="32" ht="20" customHeight="1" spans="1:12" x14ac:dyDescent="0.25">
      <c r="A32" s="20" t="s">
        <v>132</v>
      </c>
      <c r="B32" s="21">
        <f>0</f>
      </c>
      <c r="C32" s="21">
        <f>(Parámetros!$B$55+Parámetros!$B$56)*Parámetros!$B$57*C7</f>
      </c>
      <c r="D32" s="21">
        <f>(Parámetros!$B$55+Parámetros!$B$56)*Parámetros!$B$57*D7</f>
      </c>
      <c r="E32" s="21">
        <f>(Parámetros!$B$55+Parámetros!$B$56)*Parámetros!$B$57*E7</f>
      </c>
      <c r="F32" s="21">
        <f>(Parámetros!$B$55+Parámetros!$B$56)*Parámetros!$B$57*F7</f>
      </c>
      <c r="G32" s="21">
        <f>(Parámetros!$B$55+Parámetros!$B$56)*Parámetros!$B$57*G7</f>
      </c>
      <c r="H32" s="21">
        <f>(Parámetros!$B$55+Parámetros!$B$56)*Parámetros!$B$57*H7</f>
      </c>
      <c r="I32" s="21">
        <f>(Parámetros!$B$55+Parámetros!$B$56)*Parámetros!$B$57*I7</f>
      </c>
      <c r="J32" s="21">
        <f>(Parámetros!$B$55+Parámetros!$B$56)*Parámetros!$B$57*J7</f>
      </c>
      <c r="K32" s="21">
        <f>(Parámetros!$B$55+Parámetros!$B$56)*Parámetros!$B$57*K7</f>
      </c>
      <c r="L32" s="21">
        <f>(Parámetros!$B$55+Parámetros!$B$56)*Parámetros!$B$57*L7</f>
      </c>
    </row>
    <row r="33" ht="20" customHeight="1" spans="1:12" x14ac:dyDescent="0.25">
      <c r="A33" s="20" t="s">
        <v>133</v>
      </c>
      <c r="B33" s="21">
        <f>0</f>
      </c>
      <c r="C33" s="21">
        <f>Parámetros!$B$58*(Parámetros!$B$59/100)*C7</f>
      </c>
      <c r="D33" s="21">
        <f>Parámetros!$B$58*(Parámetros!$B$59/100)*D7</f>
      </c>
      <c r="E33" s="21">
        <f>Parámetros!$B$58*(Parámetros!$B$59/100)*E7</f>
      </c>
      <c r="F33" s="21">
        <f>Parámetros!$B$58*(Parámetros!$B$59/100)*F7</f>
      </c>
      <c r="G33" s="21">
        <f>Parámetros!$B$58*(Parámetros!$B$59/100)*G7</f>
      </c>
      <c r="H33" s="21">
        <f>Parámetros!$B$58*(Parámetros!$B$59/100)*H7</f>
      </c>
      <c r="I33" s="21">
        <f>Parámetros!$B$58*(Parámetros!$B$59/100)*I7</f>
      </c>
      <c r="J33" s="21">
        <f>Parámetros!$B$58*(Parámetros!$B$59/100)*J7</f>
      </c>
      <c r="K33" s="21">
        <f>Parámetros!$B$58*(Parámetros!$B$59/100)*K7</f>
      </c>
      <c r="L33" s="21">
        <f>Parámetros!$B$58*(Parámetros!$B$59/100)*L7</f>
      </c>
    </row>
    <row r="34" ht="20" customHeight="1" spans="1:12" x14ac:dyDescent="0.25">
      <c r="A34" s="20" t="s">
        <v>134</v>
      </c>
      <c r="B34" s="21">
        <f>0</f>
      </c>
      <c r="C34" s="21">
        <f>Parámetros!$B$61*(Parámetros!$B$62/100)*(Parámetros!$B$64-Parámetros!$B$63)*C7</f>
      </c>
      <c r="D34" s="21">
        <f>Parámetros!$B$61*(Parámetros!$B$62/100)*(Parámetros!$B$64-Parámetros!$B$63)*D7</f>
      </c>
      <c r="E34" s="21">
        <f>Parámetros!$B$61*(Parámetros!$B$62/100)*(Parámetros!$B$64-Parámetros!$B$63)*E7</f>
      </c>
      <c r="F34" s="21">
        <f>Parámetros!$B$61*(Parámetros!$B$62/100)*(Parámetros!$B$64-Parámetros!$B$63)*F7</f>
      </c>
      <c r="G34" s="21">
        <f>Parámetros!$B$61*(Parámetros!$B$62/100)*(Parámetros!$B$64-Parámetros!$B$63)*G7</f>
      </c>
      <c r="H34" s="21">
        <f>Parámetros!$B$61*(Parámetros!$B$62/100)*(Parámetros!$B$64-Parámetros!$B$63)*H7</f>
      </c>
      <c r="I34" s="21">
        <f>Parámetros!$B$61*(Parámetros!$B$62/100)*(Parámetros!$B$64-Parámetros!$B$63)*I7</f>
      </c>
      <c r="J34" s="21">
        <f>Parámetros!$B$61*(Parámetros!$B$62/100)*(Parámetros!$B$64-Parámetros!$B$63)*J7</f>
      </c>
      <c r="K34" s="21">
        <f>Parámetros!$B$61*(Parámetros!$B$62/100)*(Parámetros!$B$64-Parámetros!$B$63)*K7</f>
      </c>
      <c r="L34" s="21">
        <f>Parámetros!$B$61*(Parámetros!$B$62/100)*(Parámetros!$B$64-Parámetros!$B$63)*L7</f>
      </c>
    </row>
    <row r="35" ht="20" customHeight="1" spans="1:12" x14ac:dyDescent="0.25">
      <c r="A35" s="22" t="s">
        <v>135</v>
      </c>
      <c r="B35" s="23">
        <f>B25+B26+B27+B28+B29+B30+B31+B32+B33+B34</f>
      </c>
      <c r="C35" s="23">
        <f>C25+C26+C27+C28+C29+C30+C31+C32+C33+C34</f>
      </c>
      <c r="D35" s="23">
        <f>D25+D26+D27+D28+D29+D30+D31+D32+D33+D34</f>
      </c>
      <c r="E35" s="23">
        <f>E25+E26+E27+E28+E29+E30+E31+E32+E33+E34</f>
      </c>
      <c r="F35" s="23">
        <f>F25+F26+F27+F28+F29+F30+F31+F32+F33+F34</f>
      </c>
      <c r="G35" s="23">
        <f>G25+G26+G27+G28+G29+G30+G31+G32+G33+G34</f>
      </c>
      <c r="H35" s="23">
        <f>H25+H26+H27+H28+H29+H30+H31+H32+H33+H34</f>
      </c>
      <c r="I35" s="23">
        <f>I25+I26+I27+I28+I29+I30+I31+I32+I33+I34</f>
      </c>
      <c r="J35" s="23">
        <f>J25+J26+J27+J28+J29+J30+J31+J32+J33+J34</f>
      </c>
      <c r="K35" s="23">
        <f>K25+K26+K27+K28+K29+K30+K31+K32+K33+K34</f>
      </c>
      <c r="L35" s="23">
        <f>L25+L26+L27+L28+L29+L30+L31+L32+L33+L34</f>
      </c>
    </row>
    <row r="36" ht="20" customHeight="1" x14ac:dyDescent="0.25"/>
    <row r="37" ht="20" customHeight="1" spans="1:12" x14ac:dyDescent="0.25">
      <c r="A37" s="24" t="s">
        <v>136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ht="20" customHeight="1" spans="1:12" x14ac:dyDescent="0.25">
      <c r="A38" s="25" t="s">
        <v>137</v>
      </c>
      <c r="B38" s="26">
        <f>(MAX(0,Parámetros!$B$25/100*Parámetros!$B$23-Parámetros!$B$70)/Parámetros!$B$69+(MAX(0,Parámetros!$B$25/100*Parámetros!$B$23-Parámetros!$B$70)-MAX(0,Parámetros!$B$25/100*Parámetros!$B$23-Parámetros!$B$70)*0/Parámetros!$B$69)*Parámetros!$B$66/100)</f>
      </c>
      <c r="C38" s="26">
        <f>(MAX(0,Parámetros!$B$25/100*Parámetros!$B$23-Parámetros!$B$70)/Parámetros!$B$69+(MAX(0,Parámetros!$B$25/100*Parámetros!$B$23-Parámetros!$B$70)-MAX(0,Parámetros!$B$25/100*Parámetros!$B$23-Parámetros!$B$70)*1/Parámetros!$B$69)*Parámetros!$B$66/100)+(Parámetros!$B$26/100*Parámetros!$B$23/Parámetros!$B$69+(Parámetros!$B$26/100*Parámetros!$B$23-Parámetros!$B$26/100*Parámetros!$B$23*0/Parámetros!$B$69)*Parámetros!$B$66/100)</f>
      </c>
      <c r="D38" s="26">
        <f>(MAX(0,Parámetros!$B$25/100*Parámetros!$B$23-Parámetros!$B$70)/Parámetros!$B$69+(MAX(0,Parámetros!$B$25/100*Parámetros!$B$23-Parámetros!$B$70)-MAX(0,Parámetros!$B$25/100*Parámetros!$B$23-Parámetros!$B$70)*2/Parámetros!$B$69)*Parámetros!$B$66/100)+(Parámetros!$B$26/100*Parámetros!$B$23/Parámetros!$B$69+(Parámetros!$B$26/100*Parámetros!$B$23-Parámetros!$B$26/100*Parámetros!$B$23*1/Parámetros!$B$69)*Parámetros!$B$66/100)+(Parámetros!$B$27/100*Parámetros!$B$23/Parámetros!$B$69+(Parámetros!$B$27/100*Parámetros!$B$23-Parámetros!$B$27/100*Parámetros!$B$23*0/Parámetros!$B$69)*Parámetros!$B$66/100)</f>
      </c>
      <c r="E38" s="26">
        <f>(MAX(0,Parámetros!$B$25/100*Parámetros!$B$23-Parámetros!$B$70)/Parámetros!$B$69+(MAX(0,Parámetros!$B$25/100*Parámetros!$B$23-Parámetros!$B$70)-MAX(0,Parámetros!$B$25/100*Parámetros!$B$23-Parámetros!$B$70)*3/Parámetros!$B$69)*Parámetros!$B$66/100)+(Parámetros!$B$26/100*Parámetros!$B$23/Parámetros!$B$69+(Parámetros!$B$26/100*Parámetros!$B$23-Parámetros!$B$26/100*Parámetros!$B$23*2/Parámetros!$B$69)*Parámetros!$B$66/100)+(Parámetros!$B$27/100*Parámetros!$B$23/Parámetros!$B$69+(Parámetros!$B$27/100*Parámetros!$B$23-Parámetros!$B$27/100*Parámetros!$B$23*1/Parámetros!$B$69)*Parámetros!$B$66/100)+(Parámetros!$B$28/100*Parámetros!$B$23/Parámetros!$B$69+(Parámetros!$B$28/100*Parámetros!$B$23-Parámetros!$B$28/100*Parámetros!$B$23*0/Parámetros!$B$69)*Parámetros!$B$66/100)</f>
      </c>
      <c r="F38" s="26">
        <f>(MAX(0,Parámetros!$B$25/100*Parámetros!$B$23-Parámetros!$B$70)/Parámetros!$B$69+(MAX(0,Parámetros!$B$25/100*Parámetros!$B$23-Parámetros!$B$70)-MAX(0,Parámetros!$B$25/100*Parámetros!$B$23-Parámetros!$B$70)*4/Parámetros!$B$69)*Parámetros!$B$66/100)+(Parámetros!$B$26/100*Parámetros!$B$23/Parámetros!$B$69+(Parámetros!$B$26/100*Parámetros!$B$23-Parámetros!$B$26/100*Parámetros!$B$23*3/Parámetros!$B$69)*Parámetros!$B$66/100)+(Parámetros!$B$27/100*Parámetros!$B$23/Parámetros!$B$69+(Parámetros!$B$27/100*Parámetros!$B$23-Parámetros!$B$27/100*Parámetros!$B$23*2/Parámetros!$B$69)*Parámetros!$B$66/100)+(Parámetros!$B$28/100*Parámetros!$B$23/Parámetros!$B$69+(Parámetros!$B$28/100*Parámetros!$B$23-Parámetros!$B$28/100*Parámetros!$B$23*1/Parámetros!$B$69)*Parámetros!$B$66/100)</f>
      </c>
      <c r="G38" s="26">
        <f>(MAX(0,Parámetros!$B$25/100*Parámetros!$B$23-Parámetros!$B$70)/Parámetros!$B$69+(MAX(0,Parámetros!$B$25/100*Parámetros!$B$23-Parámetros!$B$70)-MAX(0,Parámetros!$B$25/100*Parámetros!$B$23-Parámetros!$B$70)*5/Parámetros!$B$69)*Parámetros!$B$66/100)+(Parámetros!$B$26/100*Parámetros!$B$23/Parámetros!$B$69+(Parámetros!$B$26/100*Parámetros!$B$23-Parámetros!$B$26/100*Parámetros!$B$23*4/Parámetros!$B$69)*Parámetros!$B$66/100)+(Parámetros!$B$27/100*Parámetros!$B$23/Parámetros!$B$69+(Parámetros!$B$27/100*Parámetros!$B$23-Parámetros!$B$27/100*Parámetros!$B$23*3/Parámetros!$B$69)*Parámetros!$B$66/100)+(Parámetros!$B$28/100*Parámetros!$B$23/Parámetros!$B$69+(Parámetros!$B$28/100*Parámetros!$B$23-Parámetros!$B$28/100*Parámetros!$B$23*2/Parámetros!$B$69)*Parámetros!$B$66/100)</f>
      </c>
      <c r="H38" s="26">
        <f>(MAX(0,Parámetros!$B$25/100*Parámetros!$B$23-Parámetros!$B$70)/Parámetros!$B$69+(MAX(0,Parámetros!$B$25/100*Parámetros!$B$23-Parámetros!$B$70)-MAX(0,Parámetros!$B$25/100*Parámetros!$B$23-Parámetros!$B$70)*6/Parámetros!$B$69)*Parámetros!$B$66/100)+(Parámetros!$B$26/100*Parámetros!$B$23/Parámetros!$B$69+(Parámetros!$B$26/100*Parámetros!$B$23-Parámetros!$B$26/100*Parámetros!$B$23*5/Parámetros!$B$69)*Parámetros!$B$66/100)+(Parámetros!$B$27/100*Parámetros!$B$23/Parámetros!$B$69+(Parámetros!$B$27/100*Parámetros!$B$23-Parámetros!$B$27/100*Parámetros!$B$23*4/Parámetros!$B$69)*Parámetros!$B$66/100)+(Parámetros!$B$28/100*Parámetros!$B$23/Parámetros!$B$69+(Parámetros!$B$28/100*Parámetros!$B$23-Parámetros!$B$28/100*Parámetros!$B$23*3/Parámetros!$B$69)*Parámetros!$B$66/100)</f>
      </c>
      <c r="I38" s="26">
        <f>(MAX(0,Parámetros!$B$25/100*Parámetros!$B$23-Parámetros!$B$70)/Parámetros!$B$69+(MAX(0,Parámetros!$B$25/100*Parámetros!$B$23-Parámetros!$B$70)-MAX(0,Parámetros!$B$25/100*Parámetros!$B$23-Parámetros!$B$70)*7/Parámetros!$B$69)*Parámetros!$B$66/100)+(Parámetros!$B$26/100*Parámetros!$B$23/Parámetros!$B$69+(Parámetros!$B$26/100*Parámetros!$B$23-Parámetros!$B$26/100*Parámetros!$B$23*6/Parámetros!$B$69)*Parámetros!$B$66/100)+(Parámetros!$B$27/100*Parámetros!$B$23/Parámetros!$B$69+(Parámetros!$B$27/100*Parámetros!$B$23-Parámetros!$B$27/100*Parámetros!$B$23*5/Parámetros!$B$69)*Parámetros!$B$66/100)+(Parámetros!$B$28/100*Parámetros!$B$23/Parámetros!$B$69+(Parámetros!$B$28/100*Parámetros!$B$23-Parámetros!$B$28/100*Parámetros!$B$23*4/Parámetros!$B$69)*Parámetros!$B$66/100)</f>
      </c>
      <c r="J38" s="26">
        <f>(MAX(0,Parámetros!$B$25/100*Parámetros!$B$23-Parámetros!$B$70)/Parámetros!$B$69+(MAX(0,Parámetros!$B$25/100*Parámetros!$B$23-Parámetros!$B$70)-MAX(0,Parámetros!$B$25/100*Parámetros!$B$23-Parámetros!$B$70)*8/Parámetros!$B$69)*Parámetros!$B$66/100)+(Parámetros!$B$26/100*Parámetros!$B$23/Parámetros!$B$69+(Parámetros!$B$26/100*Parámetros!$B$23-Parámetros!$B$26/100*Parámetros!$B$23*7/Parámetros!$B$69)*Parámetros!$B$66/100)+(Parámetros!$B$27/100*Parámetros!$B$23/Parámetros!$B$69+(Parámetros!$B$27/100*Parámetros!$B$23-Parámetros!$B$27/100*Parámetros!$B$23*6/Parámetros!$B$69)*Parámetros!$B$66/100)+(Parámetros!$B$28/100*Parámetros!$B$23/Parámetros!$B$69+(Parámetros!$B$28/100*Parámetros!$B$23-Parámetros!$B$28/100*Parámetros!$B$23*5/Parámetros!$B$69)*Parámetros!$B$66/100)</f>
      </c>
      <c r="K38" s="26">
        <f>(MAX(0,Parámetros!$B$25/100*Parámetros!$B$23-Parámetros!$B$70)/Parámetros!$B$69+(MAX(0,Parámetros!$B$25/100*Parámetros!$B$23-Parámetros!$B$70)-MAX(0,Parámetros!$B$25/100*Parámetros!$B$23-Parámetros!$B$70)*9/Parámetros!$B$69)*Parámetros!$B$66/100)+(Parámetros!$B$26/100*Parámetros!$B$23/Parámetros!$B$69+(Parámetros!$B$26/100*Parámetros!$B$23-Parámetros!$B$26/100*Parámetros!$B$23*8/Parámetros!$B$69)*Parámetros!$B$66/100)+(Parámetros!$B$27/100*Parámetros!$B$23/Parámetros!$B$69+(Parámetros!$B$27/100*Parámetros!$B$23-Parámetros!$B$27/100*Parámetros!$B$23*7/Parámetros!$B$69)*Parámetros!$B$66/100)+(Parámetros!$B$28/100*Parámetros!$B$23/Parámetros!$B$69+(Parámetros!$B$28/100*Parámetros!$B$23-Parámetros!$B$28/100*Parámetros!$B$23*6/Parámetros!$B$69)*Parámetros!$B$66/100)</f>
      </c>
      <c r="L38" s="26">
        <f>(Parámetros!$B$26/100*Parámetros!$B$23/Parámetros!$B$69+(Parámetros!$B$26/100*Parámetros!$B$23-Parámetros!$B$26/100*Parámetros!$B$23*9/Parámetros!$B$69)*Parámetros!$B$66/100)+(Parámetros!$B$27/100*Parámetros!$B$23/Parámetros!$B$69+(Parámetros!$B$27/100*Parámetros!$B$23-Parámetros!$B$27/100*Parámetros!$B$23*8/Parámetros!$B$69)*Parámetros!$B$66/100)+(Parámetros!$B$28/100*Parámetros!$B$23/Parámetros!$B$69+(Parámetros!$B$28/100*Parámetros!$B$23-Parámetros!$B$28/100*Parámetros!$B$23*7/Parámetros!$B$69)*Parámetros!$B$66/100)</f>
      </c>
    </row>
    <row r="39" ht="20" customHeight="1" spans="1:12" x14ac:dyDescent="0.25">
      <c r="A39" s="25" t="s">
        <v>138</v>
      </c>
      <c r="B39" s="26">
        <f>0</f>
      </c>
      <c r="C39" s="26">
        <f>(C5*Parámetros!$B$67/Parámetros!$B$68+(C5*Parámetros!$B$67-C5*Parámetros!$B$67*0/Parámetros!$B$68)*Parámetros!$B$66/100)</f>
      </c>
      <c r="D39" s="26">
        <f>(C5*Parámetros!$B$67/Parámetros!$B$68+(C5*Parámetros!$B$67-C5*Parámetros!$B$67*1/Parámetros!$B$68)*Parámetros!$B$66/100)+(D5*Parámetros!$B$67/Parámetros!$B$68+(D5*Parámetros!$B$67-D5*Parámetros!$B$67*0/Parámetros!$B$68)*Parámetros!$B$66/100)</f>
      </c>
      <c r="E39" s="26">
        <f>(C5*Parámetros!$B$67/Parámetros!$B$68+(C5*Parámetros!$B$67-C5*Parámetros!$B$67*2/Parámetros!$B$68)*Parámetros!$B$66/100)+(D5*Parámetros!$B$67/Parámetros!$B$68+(D5*Parámetros!$B$67-D5*Parámetros!$B$67*1/Parámetros!$B$68)*Parámetros!$B$66/100)+(E5*Parámetros!$B$67/Parámetros!$B$68+(E5*Parámetros!$B$67-E5*Parámetros!$B$67*0/Parámetros!$B$68)*Parámetros!$B$66/100)</f>
      </c>
      <c r="F39" s="26">
        <f>(C5*Parámetros!$B$67/Parámetros!$B$68+(C5*Parámetros!$B$67-C5*Parámetros!$B$67*3/Parámetros!$B$68)*Parámetros!$B$66/100)+(D5*Parámetros!$B$67/Parámetros!$B$68+(D5*Parámetros!$B$67-D5*Parámetros!$B$67*2/Parámetros!$B$68)*Parámetros!$B$66/100)+(E5*Parámetros!$B$67/Parámetros!$B$68+(E5*Parámetros!$B$67-E5*Parámetros!$B$67*1/Parámetros!$B$68)*Parámetros!$B$66/100)+(F5*(((1-Parámetros!$B$8/100)*Parámetros!$B$11+(Parámetros!$B$8/100)*Parámetros!$B$12)+((Parámetros!$B$6/100)*Parámetros!$B$13+(Parámetros!$B$7/100)*Parámetros!$B$14+((100-Parámetros!$B$6-Parámetros!$B$7)/100)*Parámetros!$B$15)+Parámetros!$B$16)/Parámetros!$B$68+(F5*(((1-Parámetros!$B$8/100)*Parámetros!$B$11+(Parámetros!$B$8/100)*Parámetros!$B$12)+((Parámetros!$B$6/100)*Parámetros!$B$13+(Parámetros!$B$7/100)*Parámetros!$B$14+((100-Parámetros!$B$6-Parámetros!$B$7)/100)*Parámetros!$B$15)+Parámetros!$B$16)-F5*(((1-Parámetros!$B$8/100)*Parámetros!$B$11+(Parámetros!$B$8/100)*Parámetros!$B$12)+((Parámetros!$B$6/100)*Parámetros!$B$13+(Parámetros!$B$7/100)*Parámetros!$B$14+((100-Parámetros!$B$6-Parámetros!$B$7)/100)*Parámetros!$B$15)+Parámetros!$B$16)*0/Parámetros!$B$68)*Parámetros!$B$66/100)</f>
      </c>
      <c r="G39" s="26">
        <f>(C5*Parámetros!$B$67/Parámetros!$B$68+(C5*Parámetros!$B$67-C5*Parámetros!$B$67*4/Parámetros!$B$68)*Parámetros!$B$66/100)+(D5*Parámetros!$B$67/Parámetros!$B$68+(D5*Parámetros!$B$67-D5*Parámetros!$B$67*3/Parámetros!$B$68)*Parámetros!$B$66/100)+(E5*Parámetros!$B$67/Parámetros!$B$68+(E5*Parámetros!$B$67-E5*Parámetros!$B$67*2/Parámetros!$B$68)*Parámetros!$B$66/100)+(F5*(((1-Parámetros!$B$8/100)*Parámetros!$B$11+(Parámetros!$B$8/100)*Parámetros!$B$12)+((Parámetros!$B$6/100)*Parámetros!$B$13+(Parámetros!$B$7/100)*Parámetros!$B$14+((100-Parámetros!$B$6-Parámetros!$B$7)/100)*Parámetros!$B$15)+Parámetros!$B$16)/Parámetros!$B$68+(F5*(((1-Parámetros!$B$8/100)*Parámetros!$B$11+(Parámetros!$B$8/100)*Parámetros!$B$12)+((Parámetros!$B$6/100)*Parámetros!$B$13+(Parámetros!$B$7/100)*Parámetros!$B$14+((100-Parámetros!$B$6-Parámetros!$B$7)/100)*Parámetros!$B$15)+Parámetros!$B$16)-F5*(((1-Parámetros!$B$8/100)*Parámetros!$B$11+(Parámetros!$B$8/100)*Parámetros!$B$12)+((Parámetros!$B$6/100)*Parámetros!$B$13+(Parámetros!$B$7/100)*Parámetros!$B$14+((100-Parámetros!$B$6-Parámetros!$B$7)/100)*Parámetros!$B$15)+Parámetros!$B$16)*1/Parámetros!$B$68)*Parámetros!$B$66/100)+(G5*(((1-Parámetros!$B$8/100)*Parámetros!$B$11+(Parámetros!$B$8/100)*Parámetros!$B$12)+((Parámetros!$B$6/100)*Parámetros!$B$13+(Parámetros!$B$7/100)*Parámetros!$B$14+((100-Parámetros!$B$6-Parámetros!$B$7)/100)*Parámetros!$B$15)+Parámetros!$B$16)/Parámetros!$B$68+(G5*(((1-Parámetros!$B$8/100)*Parámetros!$B$11+(Parámetros!$B$8/100)*Parámetros!$B$12)+((Parámetros!$B$6/100)*Parámetros!$B$13+(Parámetros!$B$7/100)*Parámetros!$B$14+((100-Parámetros!$B$6-Parámetros!$B$7)/100)*Parámetros!$B$15)+Parámetros!$B$16)-G5*(((1-Parámetros!$B$8/100)*Parámetros!$B$11+(Parámetros!$B$8/100)*Parámetros!$B$12)+((Parámetros!$B$6/100)*Parámetros!$B$13+(Parámetros!$B$7/100)*Parámetros!$B$14+((100-Parámetros!$B$6-Parámetros!$B$7)/100)*Parámetros!$B$15)+Parámetros!$B$16)*0/Parámetros!$B$68)*Parámetros!$B$66/100)</f>
      </c>
      <c r="H39" s="26">
        <f>(C5*Parámetros!$B$67/Parámetros!$B$68+(C5*Parámetros!$B$67-C5*Parámetros!$B$67*5/Parámetros!$B$68)*Parámetros!$B$66/100)+(D5*Parámetros!$B$67/Parámetros!$B$68+(D5*Parámetros!$B$67-D5*Parámetros!$B$67*4/Parámetros!$B$68)*Parámetros!$B$66/100)+(E5*Parámetros!$B$67/Parámetros!$B$68+(E5*Parámetros!$B$67-E5*Parámetros!$B$67*3/Parámetros!$B$68)*Parámetros!$B$66/100)+(F5*(((1-Parámetros!$B$8/100)*Parámetros!$B$11+(Parámetros!$B$8/100)*Parámetros!$B$12)+((Parámetros!$B$6/100)*Parámetros!$B$13+(Parámetros!$B$7/100)*Parámetros!$B$14+((100-Parámetros!$B$6-Parámetros!$B$7)/100)*Parámetros!$B$15)+Parámetros!$B$16)/Parámetros!$B$68+(F5*(((1-Parámetros!$B$8/100)*Parámetros!$B$11+(Parámetros!$B$8/100)*Parámetros!$B$12)+((Parámetros!$B$6/100)*Parámetros!$B$13+(Parámetros!$B$7/100)*Parámetros!$B$14+((100-Parámetros!$B$6-Parámetros!$B$7)/100)*Parámetros!$B$15)+Parámetros!$B$16)-F5*(((1-Parámetros!$B$8/100)*Parámetros!$B$11+(Parámetros!$B$8/100)*Parámetros!$B$12)+((Parámetros!$B$6/100)*Parámetros!$B$13+(Parámetros!$B$7/100)*Parámetros!$B$14+((100-Parámetros!$B$6-Parámetros!$B$7)/100)*Parámetros!$B$15)+Parámetros!$B$16)*2/Parámetros!$B$68)*Parámetros!$B$66/100)+(G5*(((1-Parámetros!$B$8/100)*Parámetros!$B$11+(Parámetros!$B$8/100)*Parámetros!$B$12)+((Parámetros!$B$6/100)*Parámetros!$B$13+(Parámetros!$B$7/100)*Parámetros!$B$14+((100-Parámetros!$B$6-Parámetros!$B$7)/100)*Parámetros!$B$15)+Parámetros!$B$16)/Parámetros!$B$68+(G5*(((1-Parámetros!$B$8/100)*Parámetros!$B$11+(Parámetros!$B$8/100)*Parámetros!$B$12)+((Parámetros!$B$6/100)*Parámetros!$B$13+(Parámetros!$B$7/100)*Parámetros!$B$14+((100-Parámetros!$B$6-Parámetros!$B$7)/100)*Parámetros!$B$15)+Parámetros!$B$16)-G5*(((1-Parámetros!$B$8/100)*Parámetros!$B$11+(Parámetros!$B$8/100)*Parámetros!$B$12)+((Parámetros!$B$6/100)*Parámetros!$B$13+(Parámetros!$B$7/100)*Parámetros!$B$14+((100-Parámetros!$B$6-Parámetros!$B$7)/100)*Parámetros!$B$15)+Parámetros!$B$16)*1/Parámetros!$B$68)*Parámetros!$B$66/100)+(H5*(((1-Parámetros!$B$8/100)*Parámetros!$B$11+(Parámetros!$B$8/100)*Parámetros!$B$12)+((Parámetros!$B$6/100)*Parámetros!$B$13+(Parámetros!$B$7/100)*Parámetros!$B$14+((100-Parámetros!$B$6-Parámetros!$B$7)/100)*Parámetros!$B$15)+Parámetros!$B$16)/Parámetros!$B$68+(H5*(((1-Parámetros!$B$8/100)*Parámetros!$B$11+(Parámetros!$B$8/100)*Parámetros!$B$12)+((Parámetros!$B$6/100)*Parámetros!$B$13+(Parámetros!$B$7/100)*Parámetros!$B$14+((100-Parámetros!$B$6-Parámetros!$B$7)/100)*Parámetros!$B$15)+Parámetros!$B$16)-H5*(((1-Parámetros!$B$8/100)*Parámetros!$B$11+(Parámetros!$B$8/100)*Parámetros!$B$12)+((Parámetros!$B$6/100)*Parámetros!$B$13+(Parámetros!$B$7/100)*Parámetros!$B$14+((100-Parámetros!$B$6-Parámetros!$B$7)/100)*Parámetros!$B$15)+Parámetros!$B$16)*0/Parámetros!$B$68)*Parámetros!$B$66/100)</f>
      </c>
      <c r="I39" s="26">
        <f>(C5*Parámetros!$B$67/Parámetros!$B$68+(C5*Parámetros!$B$67-C5*Parámetros!$B$67*6/Parámetros!$B$68)*Parámetros!$B$66/100)+(D5*Parámetros!$B$67/Parámetros!$B$68+(D5*Parámetros!$B$67-D5*Parámetros!$B$67*5/Parámetros!$B$68)*Parámetros!$B$66/100)+(E5*Parámetros!$B$67/Parámetros!$B$68+(E5*Parámetros!$B$67-E5*Parámetros!$B$67*4/Parámetros!$B$68)*Parámetros!$B$66/100)+(F5*(((1-Parámetros!$B$8/100)*Parámetros!$B$11+(Parámetros!$B$8/100)*Parámetros!$B$12)+((Parámetros!$B$6/100)*Parámetros!$B$13+(Parámetros!$B$7/100)*Parámetros!$B$14+((100-Parámetros!$B$6-Parámetros!$B$7)/100)*Parámetros!$B$15)+Parámetros!$B$16)/Parámetros!$B$68+(F5*(((1-Parámetros!$B$8/100)*Parámetros!$B$11+(Parámetros!$B$8/100)*Parámetros!$B$12)+((Parámetros!$B$6/100)*Parámetros!$B$13+(Parámetros!$B$7/100)*Parámetros!$B$14+((100-Parámetros!$B$6-Parámetros!$B$7)/100)*Parámetros!$B$15)+Parámetros!$B$16)-F5*(((1-Parámetros!$B$8/100)*Parámetros!$B$11+(Parámetros!$B$8/100)*Parámetros!$B$12)+((Parámetros!$B$6/100)*Parámetros!$B$13+(Parámetros!$B$7/100)*Parámetros!$B$14+((100-Parámetros!$B$6-Parámetros!$B$7)/100)*Parámetros!$B$15)+Parámetros!$B$16)*3/Parámetros!$B$68)*Parámetros!$B$66/100)+(G5*(((1-Parámetros!$B$8/100)*Parámetros!$B$11+(Parámetros!$B$8/100)*Parámetros!$B$12)+((Parámetros!$B$6/100)*Parámetros!$B$13+(Parámetros!$B$7/100)*Parámetros!$B$14+((100-Parámetros!$B$6-Parámetros!$B$7)/100)*Parámetros!$B$15)+Parámetros!$B$16)/Parámetros!$B$68+(G5*(((1-Parámetros!$B$8/100)*Parámetros!$B$11+(Parámetros!$B$8/100)*Parámetros!$B$12)+((Parámetros!$B$6/100)*Parámetros!$B$13+(Parámetros!$B$7/100)*Parámetros!$B$14+((100-Parámetros!$B$6-Parámetros!$B$7)/100)*Parámetros!$B$15)+Parámetros!$B$16)-G5*(((1-Parámetros!$B$8/100)*Parámetros!$B$11+(Parámetros!$B$8/100)*Parámetros!$B$12)+((Parámetros!$B$6/100)*Parámetros!$B$13+(Parámetros!$B$7/100)*Parámetros!$B$14+((100-Parámetros!$B$6-Parámetros!$B$7)/100)*Parámetros!$B$15)+Parámetros!$B$16)*2/Parámetros!$B$68)*Parámetros!$B$66/100)+(H5*(((1-Parámetros!$B$8/100)*Parámetros!$B$11+(Parámetros!$B$8/100)*Parámetros!$B$12)+((Parámetros!$B$6/100)*Parámetros!$B$13+(Parámetros!$B$7/100)*Parámetros!$B$14+((100-Parámetros!$B$6-Parámetros!$B$7)/100)*Parámetros!$B$15)+Parámetros!$B$16)/Parámetros!$B$68+(H5*(((1-Parámetros!$B$8/100)*Parámetros!$B$11+(Parámetros!$B$8/100)*Parámetros!$B$12)+((Parámetros!$B$6/100)*Parámetros!$B$13+(Parámetros!$B$7/100)*Parámetros!$B$14+((100-Parámetros!$B$6-Parámetros!$B$7)/100)*Parámetros!$B$15)+Parámetros!$B$16)-H5*(((1-Parámetros!$B$8/100)*Parámetros!$B$11+(Parámetros!$B$8/100)*Parámetros!$B$12)+((Parámetros!$B$6/100)*Parámetros!$B$13+(Parámetros!$B$7/100)*Parámetros!$B$14+((100-Parámetros!$B$6-Parámetros!$B$7)/100)*Parámetros!$B$15)+Parámetros!$B$16)*1/Parámetros!$B$68)*Parámetros!$B$66/100)+(I5*(((1-Parámetros!$B$8/100)*Parámetros!$B$11+(Parámetros!$B$8/100)*Parámetros!$B$12)+((Parámetros!$B$6/100)*Parámetros!$B$13+(Parámetros!$B$7/100)*Parámetros!$B$14+((100-Parámetros!$B$6-Parámetros!$B$7)/100)*Parámetros!$B$15)+Parámetros!$B$16)/Parámetros!$B$68+(I5*(((1-Parámetros!$B$8/100)*Parámetros!$B$11+(Parámetros!$B$8/100)*Parámetros!$B$12)+((Parámetros!$B$6/100)*Parámetros!$B$13+(Parámetros!$B$7/100)*Parámetros!$B$14+((100-Parámetros!$B$6-Parámetros!$B$7)/100)*Parámetros!$B$15)+Parámetros!$B$16)-I5*(((1-Parámetros!$B$8/100)*Parámetros!$B$11+(Parámetros!$B$8/100)*Parámetros!$B$12)+((Parámetros!$B$6/100)*Parámetros!$B$13+(Parámetros!$B$7/100)*Parámetros!$B$14+((100-Parámetros!$B$6-Parámetros!$B$7)/100)*Parámetros!$B$15)+Parámetros!$B$16)*0/Parámetros!$B$68)*Parámetros!$B$66/100)</f>
      </c>
      <c r="J39" s="26">
        <f>(C5*Parámetros!$B$67/Parámetros!$B$68+(C5*Parámetros!$B$67-C5*Parámetros!$B$67*7/Parámetros!$B$68)*Parámetros!$B$66/100)+(D5*Parámetros!$B$67/Parámetros!$B$68+(D5*Parámetros!$B$67-D5*Parámetros!$B$67*6/Parámetros!$B$68)*Parámetros!$B$66/100)+(E5*Parámetros!$B$67/Parámetros!$B$68+(E5*Parámetros!$B$67-E5*Parámetros!$B$67*5/Parámetros!$B$68)*Parámetros!$B$66/100)+(F5*(((1-Parámetros!$B$8/100)*Parámetros!$B$11+(Parámetros!$B$8/100)*Parámetros!$B$12)+((Parámetros!$B$6/100)*Parámetros!$B$13+(Parámetros!$B$7/100)*Parámetros!$B$14+((100-Parámetros!$B$6-Parámetros!$B$7)/100)*Parámetros!$B$15)+Parámetros!$B$16)/Parámetros!$B$68+(F5*(((1-Parámetros!$B$8/100)*Parámetros!$B$11+(Parámetros!$B$8/100)*Parámetros!$B$12)+((Parámetros!$B$6/100)*Parámetros!$B$13+(Parámetros!$B$7/100)*Parámetros!$B$14+((100-Parámetros!$B$6-Parámetros!$B$7)/100)*Parámetros!$B$15)+Parámetros!$B$16)-F5*(((1-Parámetros!$B$8/100)*Parámetros!$B$11+(Parámetros!$B$8/100)*Parámetros!$B$12)+((Parámetros!$B$6/100)*Parámetros!$B$13+(Parámetros!$B$7/100)*Parámetros!$B$14+((100-Parámetros!$B$6-Parámetros!$B$7)/100)*Parámetros!$B$15)+Parámetros!$B$16)*4/Parámetros!$B$68)*Parámetros!$B$66/100)+(G5*(((1-Parámetros!$B$8/100)*Parámetros!$B$11+(Parámetros!$B$8/100)*Parámetros!$B$12)+((Parámetros!$B$6/100)*Parámetros!$B$13+(Parámetros!$B$7/100)*Parámetros!$B$14+((100-Parámetros!$B$6-Parámetros!$B$7)/100)*Parámetros!$B$15)+Parámetros!$B$16)/Parámetros!$B$68+(G5*(((1-Parámetros!$B$8/100)*Parámetros!$B$11+(Parámetros!$B$8/100)*Parámetros!$B$12)+((Parámetros!$B$6/100)*Parámetros!$B$13+(Parámetros!$B$7/100)*Parámetros!$B$14+((100-Parámetros!$B$6-Parámetros!$B$7)/100)*Parámetros!$B$15)+Parámetros!$B$16)-G5*(((1-Parámetros!$B$8/100)*Parámetros!$B$11+(Parámetros!$B$8/100)*Parámetros!$B$12)+((Parámetros!$B$6/100)*Parámetros!$B$13+(Parámetros!$B$7/100)*Parámetros!$B$14+((100-Parámetros!$B$6-Parámetros!$B$7)/100)*Parámetros!$B$15)+Parámetros!$B$16)*3/Parámetros!$B$68)*Parámetros!$B$66/100)+(H5*(((1-Parámetros!$B$8/100)*Parámetros!$B$11+(Parámetros!$B$8/100)*Parámetros!$B$12)+((Parámetros!$B$6/100)*Parámetros!$B$13+(Parámetros!$B$7/100)*Parámetros!$B$14+((100-Parámetros!$B$6-Parámetros!$B$7)/100)*Parámetros!$B$15)+Parámetros!$B$16)/Parámetros!$B$68+(H5*(((1-Parámetros!$B$8/100)*Parámetros!$B$11+(Parámetros!$B$8/100)*Parámetros!$B$12)+((Parámetros!$B$6/100)*Parámetros!$B$13+(Parámetros!$B$7/100)*Parámetros!$B$14+((100-Parámetros!$B$6-Parámetros!$B$7)/100)*Parámetros!$B$15)+Parámetros!$B$16)-H5*(((1-Parámetros!$B$8/100)*Parámetros!$B$11+(Parámetros!$B$8/100)*Parámetros!$B$12)+((Parámetros!$B$6/100)*Parámetros!$B$13+(Parámetros!$B$7/100)*Parámetros!$B$14+((100-Parámetros!$B$6-Parámetros!$B$7)/100)*Parámetros!$B$15)+Parámetros!$B$16)*2/Parámetros!$B$68)*Parámetros!$B$66/100)+(I5*(((1-Parámetros!$B$8/100)*Parámetros!$B$11+(Parámetros!$B$8/100)*Parámetros!$B$12)+((Parámetros!$B$6/100)*Parámetros!$B$13+(Parámetros!$B$7/100)*Parámetros!$B$14+((100-Parámetros!$B$6-Parámetros!$B$7)/100)*Parámetros!$B$15)+Parámetros!$B$16)/Parámetros!$B$68+(I5*(((1-Parámetros!$B$8/100)*Parámetros!$B$11+(Parámetros!$B$8/100)*Parámetros!$B$12)+((Parámetros!$B$6/100)*Parámetros!$B$13+(Parámetros!$B$7/100)*Parámetros!$B$14+((100-Parámetros!$B$6-Parámetros!$B$7)/100)*Parámetros!$B$15)+Parámetros!$B$16)-I5*(((1-Parámetros!$B$8/100)*Parámetros!$B$11+(Parámetros!$B$8/100)*Parámetros!$B$12)+((Parámetros!$B$6/100)*Parámetros!$B$13+(Parámetros!$B$7/100)*Parámetros!$B$14+((100-Parámetros!$B$6-Parámetros!$B$7)/100)*Parámetros!$B$15)+Parámetros!$B$16)*1/Parámetros!$B$68)*Parámetros!$B$66/100)+(J5*(((1-Parámetros!$B$8/100)*Parámetros!$B$11+(Parámetros!$B$8/100)*Parámetros!$B$12)+((Parámetros!$B$6/100)*Parámetros!$B$13+(Parámetros!$B$7/100)*Parámetros!$B$14+((100-Parámetros!$B$6-Parámetros!$B$7)/100)*Parámetros!$B$15)+Parámetros!$B$16)/Parámetros!$B$68+(J5*(((1-Parámetros!$B$8/100)*Parámetros!$B$11+(Parámetros!$B$8/100)*Parámetros!$B$12)+((Parámetros!$B$6/100)*Parámetros!$B$13+(Parámetros!$B$7/100)*Parámetros!$B$14+((100-Parámetros!$B$6-Parámetros!$B$7)/100)*Parámetros!$B$15)+Parámetros!$B$16)-J5*(((1-Parámetros!$B$8/100)*Parámetros!$B$11+(Parámetros!$B$8/100)*Parámetros!$B$12)+((Parámetros!$B$6/100)*Parámetros!$B$13+(Parámetros!$B$7/100)*Parámetros!$B$14+((100-Parámetros!$B$6-Parámetros!$B$7)/100)*Parámetros!$B$15)+Parámetros!$B$16)*0/Parámetros!$B$68)*Parámetros!$B$66/100)</f>
      </c>
      <c r="K39" s="26">
        <f>(C5*Parámetros!$B$67/Parámetros!$B$68+(C5*Parámetros!$B$67-C5*Parámetros!$B$67*8/Parámetros!$B$68)*Parámetros!$B$66/100)+(D5*Parámetros!$B$67/Parámetros!$B$68+(D5*Parámetros!$B$67-D5*Parámetros!$B$67*7/Parámetros!$B$68)*Parámetros!$B$66/100)+(E5*Parámetros!$B$67/Parámetros!$B$68+(E5*Parámetros!$B$67-E5*Parámetros!$B$67*6/Parámetros!$B$68)*Parámetros!$B$66/100)+(F5*(((1-Parámetros!$B$8/100)*Parámetros!$B$11+(Parámetros!$B$8/100)*Parámetros!$B$12)+((Parámetros!$B$6/100)*Parámetros!$B$13+(Parámetros!$B$7/100)*Parámetros!$B$14+((100-Parámetros!$B$6-Parámetros!$B$7)/100)*Parámetros!$B$15)+Parámetros!$B$16)/Parámetros!$B$68+(F5*(((1-Parámetros!$B$8/100)*Parámetros!$B$11+(Parámetros!$B$8/100)*Parámetros!$B$12)+((Parámetros!$B$6/100)*Parámetros!$B$13+(Parámetros!$B$7/100)*Parámetros!$B$14+((100-Parámetros!$B$6-Parámetros!$B$7)/100)*Parámetros!$B$15)+Parámetros!$B$16)-F5*(((1-Parámetros!$B$8/100)*Parámetros!$B$11+(Parámetros!$B$8/100)*Parámetros!$B$12)+((Parámetros!$B$6/100)*Parámetros!$B$13+(Parámetros!$B$7/100)*Parámetros!$B$14+((100-Parámetros!$B$6-Parámetros!$B$7)/100)*Parámetros!$B$15)+Parámetros!$B$16)*5/Parámetros!$B$68)*Parámetros!$B$66/100)+(G5*(((1-Parámetros!$B$8/100)*Parámetros!$B$11+(Parámetros!$B$8/100)*Parámetros!$B$12)+((Parámetros!$B$6/100)*Parámetros!$B$13+(Parámetros!$B$7/100)*Parámetros!$B$14+((100-Parámetros!$B$6-Parámetros!$B$7)/100)*Parámetros!$B$15)+Parámetros!$B$16)/Parámetros!$B$68+(G5*(((1-Parámetros!$B$8/100)*Parámetros!$B$11+(Parámetros!$B$8/100)*Parámetros!$B$12)+((Parámetros!$B$6/100)*Parámetros!$B$13+(Parámetros!$B$7/100)*Parámetros!$B$14+((100-Parámetros!$B$6-Parámetros!$B$7)/100)*Parámetros!$B$15)+Parámetros!$B$16)-G5*(((1-Parámetros!$B$8/100)*Parámetros!$B$11+(Parámetros!$B$8/100)*Parámetros!$B$12)+((Parámetros!$B$6/100)*Parámetros!$B$13+(Parámetros!$B$7/100)*Parámetros!$B$14+((100-Parámetros!$B$6-Parámetros!$B$7)/100)*Parámetros!$B$15)+Parámetros!$B$16)*4/Parámetros!$B$68)*Parámetros!$B$66/100)+(H5*(((1-Parámetros!$B$8/100)*Parámetros!$B$11+(Parámetros!$B$8/100)*Parámetros!$B$12)+((Parámetros!$B$6/100)*Parámetros!$B$13+(Parámetros!$B$7/100)*Parámetros!$B$14+((100-Parámetros!$B$6-Parámetros!$B$7)/100)*Parámetros!$B$15)+Parámetros!$B$16)/Parámetros!$B$68+(H5*(((1-Parámetros!$B$8/100)*Parámetros!$B$11+(Parámetros!$B$8/100)*Parámetros!$B$12)+((Parámetros!$B$6/100)*Parámetros!$B$13+(Parámetros!$B$7/100)*Parámetros!$B$14+((100-Parámetros!$B$6-Parámetros!$B$7)/100)*Parámetros!$B$15)+Parámetros!$B$16)-H5*(((1-Parámetros!$B$8/100)*Parámetros!$B$11+(Parámetros!$B$8/100)*Parámetros!$B$12)+((Parámetros!$B$6/100)*Parámetros!$B$13+(Parámetros!$B$7/100)*Parámetros!$B$14+((100-Parámetros!$B$6-Parámetros!$B$7)/100)*Parámetros!$B$15)+Parámetros!$B$16)*3/Parámetros!$B$68)*Parámetros!$B$66/100)+(I5*(((1-Parámetros!$B$8/100)*Parámetros!$B$11+(Parámetros!$B$8/100)*Parámetros!$B$12)+((Parámetros!$B$6/100)*Parámetros!$B$13+(Parámetros!$B$7/100)*Parámetros!$B$14+((100-Parámetros!$B$6-Parámetros!$B$7)/100)*Parámetros!$B$15)+Parámetros!$B$16)/Parámetros!$B$68+(I5*(((1-Parámetros!$B$8/100)*Parámetros!$B$11+(Parámetros!$B$8/100)*Parámetros!$B$12)+((Parámetros!$B$6/100)*Parámetros!$B$13+(Parámetros!$B$7/100)*Parámetros!$B$14+((100-Parámetros!$B$6-Parámetros!$B$7)/100)*Parámetros!$B$15)+Parámetros!$B$16)-I5*(((1-Parámetros!$B$8/100)*Parámetros!$B$11+(Parámetros!$B$8/100)*Parámetros!$B$12)+((Parámetros!$B$6/100)*Parámetros!$B$13+(Parámetros!$B$7/100)*Parámetros!$B$14+((100-Parámetros!$B$6-Parámetros!$B$7)/100)*Parámetros!$B$15)+Parámetros!$B$16)*2/Parámetros!$B$68)*Parámetros!$B$66/100)+(J5*(((1-Parámetros!$B$8/100)*Parámetros!$B$11+(Parámetros!$B$8/100)*Parámetros!$B$12)+((Parámetros!$B$6/100)*Parámetros!$B$13+(Parámetros!$B$7/100)*Parámetros!$B$14+((100-Parámetros!$B$6-Parámetros!$B$7)/100)*Parámetros!$B$15)+Parámetros!$B$16)/Parámetros!$B$68+(J5*(((1-Parámetros!$B$8/100)*Parámetros!$B$11+(Parámetros!$B$8/100)*Parámetros!$B$12)+((Parámetros!$B$6/100)*Parámetros!$B$13+(Parámetros!$B$7/100)*Parámetros!$B$14+((100-Parámetros!$B$6-Parámetros!$B$7)/100)*Parámetros!$B$15)+Parámetros!$B$16)-J5*(((1-Parámetros!$B$8/100)*Parámetros!$B$11+(Parámetros!$B$8/100)*Parámetros!$B$12)+((Parámetros!$B$6/100)*Parámetros!$B$13+(Parámetros!$B$7/100)*Parámetros!$B$14+((100-Parámetros!$B$6-Parámetros!$B$7)/100)*Parámetros!$B$15)+Parámetros!$B$16)*1/Parámetros!$B$68)*Parámetros!$B$66/100)+(K5*(((1-Parámetros!$B$8/100)*Parámetros!$B$11+(Parámetros!$B$8/100)*Parámetros!$B$12)+((Parámetros!$B$6/100)*Parámetros!$B$13+(Parámetros!$B$7/100)*Parámetros!$B$14+((100-Parámetros!$B$6-Parámetros!$B$7)/100)*Parámetros!$B$15)+Parámetros!$B$16)/Parámetros!$B$68+(K5*(((1-Parámetros!$B$8/100)*Parámetros!$B$11+(Parámetros!$B$8/100)*Parámetros!$B$12)+((Parámetros!$B$6/100)*Parámetros!$B$13+(Parámetros!$B$7/100)*Parámetros!$B$14+((100-Parámetros!$B$6-Parámetros!$B$7)/100)*Parámetros!$B$15)+Parámetros!$B$16)-K5*(((1-Parámetros!$B$8/100)*Parámetros!$B$11+(Parámetros!$B$8/100)*Parámetros!$B$12)+((Parámetros!$B$6/100)*Parámetros!$B$13+(Parámetros!$B$7/100)*Parámetros!$B$14+((100-Parámetros!$B$6-Parámetros!$B$7)/100)*Parámetros!$B$15)+Parámetros!$B$16)*0/Parámetros!$B$68)*Parámetros!$B$66/100)</f>
      </c>
      <c r="L39" s="26">
        <f>(C5*Parámetros!$B$67/Parámetros!$B$68+(C5*Parámetros!$B$67-C5*Parámetros!$B$67*9/Parámetros!$B$68)*Parámetros!$B$66/100)+(D5*Parámetros!$B$67/Parámetros!$B$68+(D5*Parámetros!$B$67-D5*Parámetros!$B$67*8/Parámetros!$B$68)*Parámetros!$B$66/100)+(E5*Parámetros!$B$67/Parámetros!$B$68+(E5*Parámetros!$B$67-E5*Parámetros!$B$67*7/Parámetros!$B$68)*Parámetros!$B$66/100)+(F5*(((1-Parámetros!$B$8/100)*Parámetros!$B$11+(Parámetros!$B$8/100)*Parámetros!$B$12)+((Parámetros!$B$6/100)*Parámetros!$B$13+(Parámetros!$B$7/100)*Parámetros!$B$14+((100-Parámetros!$B$6-Parámetros!$B$7)/100)*Parámetros!$B$15)+Parámetros!$B$16)/Parámetros!$B$68+(F5*(((1-Parámetros!$B$8/100)*Parámetros!$B$11+(Parámetros!$B$8/100)*Parámetros!$B$12)+((Parámetros!$B$6/100)*Parámetros!$B$13+(Parámetros!$B$7/100)*Parámetros!$B$14+((100-Parámetros!$B$6-Parámetros!$B$7)/100)*Parámetros!$B$15)+Parámetros!$B$16)-F5*(((1-Parámetros!$B$8/100)*Parámetros!$B$11+(Parámetros!$B$8/100)*Parámetros!$B$12)+((Parámetros!$B$6/100)*Parámetros!$B$13+(Parámetros!$B$7/100)*Parámetros!$B$14+((100-Parámetros!$B$6-Parámetros!$B$7)/100)*Parámetros!$B$15)+Parámetros!$B$16)*6/Parámetros!$B$68)*Parámetros!$B$66/100)+(G5*(((1-Parámetros!$B$8/100)*Parámetros!$B$11+(Parámetros!$B$8/100)*Parámetros!$B$12)+((Parámetros!$B$6/100)*Parámetros!$B$13+(Parámetros!$B$7/100)*Parámetros!$B$14+((100-Parámetros!$B$6-Parámetros!$B$7)/100)*Parámetros!$B$15)+Parámetros!$B$16)/Parámetros!$B$68+(G5*(((1-Parámetros!$B$8/100)*Parámetros!$B$11+(Parámetros!$B$8/100)*Parámetros!$B$12)+((Parámetros!$B$6/100)*Parámetros!$B$13+(Parámetros!$B$7/100)*Parámetros!$B$14+((100-Parámetros!$B$6-Parámetros!$B$7)/100)*Parámetros!$B$15)+Parámetros!$B$16)-G5*(((1-Parámetros!$B$8/100)*Parámetros!$B$11+(Parámetros!$B$8/100)*Parámetros!$B$12)+((Parámetros!$B$6/100)*Parámetros!$B$13+(Parámetros!$B$7/100)*Parámetros!$B$14+((100-Parámetros!$B$6-Parámetros!$B$7)/100)*Parámetros!$B$15)+Parámetros!$B$16)*5/Parámetros!$B$68)*Parámetros!$B$66/100)+(H5*(((1-Parámetros!$B$8/100)*Parámetros!$B$11+(Parámetros!$B$8/100)*Parámetros!$B$12)+((Parámetros!$B$6/100)*Parámetros!$B$13+(Parámetros!$B$7/100)*Parámetros!$B$14+((100-Parámetros!$B$6-Parámetros!$B$7)/100)*Parámetros!$B$15)+Parámetros!$B$16)/Parámetros!$B$68+(H5*(((1-Parámetros!$B$8/100)*Parámetros!$B$11+(Parámetros!$B$8/100)*Parámetros!$B$12)+((Parámetros!$B$6/100)*Parámetros!$B$13+(Parámetros!$B$7/100)*Parámetros!$B$14+((100-Parámetros!$B$6-Parámetros!$B$7)/100)*Parámetros!$B$15)+Parámetros!$B$16)-H5*(((1-Parámetros!$B$8/100)*Parámetros!$B$11+(Parámetros!$B$8/100)*Parámetros!$B$12)+((Parámetros!$B$6/100)*Parámetros!$B$13+(Parámetros!$B$7/100)*Parámetros!$B$14+((100-Parámetros!$B$6-Parámetros!$B$7)/100)*Parámetros!$B$15)+Parámetros!$B$16)*4/Parámetros!$B$68)*Parámetros!$B$66/100)+(I5*(((1-Parámetros!$B$8/100)*Parámetros!$B$11+(Parámetros!$B$8/100)*Parámetros!$B$12)+((Parámetros!$B$6/100)*Parámetros!$B$13+(Parámetros!$B$7/100)*Parámetros!$B$14+((100-Parámetros!$B$6-Parámetros!$B$7)/100)*Parámetros!$B$15)+Parámetros!$B$16)/Parámetros!$B$68+(I5*(((1-Parámetros!$B$8/100)*Parámetros!$B$11+(Parámetros!$B$8/100)*Parámetros!$B$12)+((Parámetros!$B$6/100)*Parámetros!$B$13+(Parámetros!$B$7/100)*Parámetros!$B$14+((100-Parámetros!$B$6-Parámetros!$B$7)/100)*Parámetros!$B$15)+Parámetros!$B$16)-I5*(((1-Parámetros!$B$8/100)*Parámetros!$B$11+(Parámetros!$B$8/100)*Parámetros!$B$12)+((Parámetros!$B$6/100)*Parámetros!$B$13+(Parámetros!$B$7/100)*Parámetros!$B$14+((100-Parámetros!$B$6-Parámetros!$B$7)/100)*Parámetros!$B$15)+Parámetros!$B$16)*3/Parámetros!$B$68)*Parámetros!$B$66/100)+(J5*(((1-Parámetros!$B$8/100)*Parámetros!$B$11+(Parámetros!$B$8/100)*Parámetros!$B$12)+((Parámetros!$B$6/100)*Parámetros!$B$13+(Parámetros!$B$7/100)*Parámetros!$B$14+((100-Parámetros!$B$6-Parámetros!$B$7)/100)*Parámetros!$B$15)+Parámetros!$B$16)/Parámetros!$B$68+(J5*(((1-Parámetros!$B$8/100)*Parámetros!$B$11+(Parámetros!$B$8/100)*Parámetros!$B$12)+((Parámetros!$B$6/100)*Parámetros!$B$13+(Parámetros!$B$7/100)*Parámetros!$B$14+((100-Parámetros!$B$6-Parámetros!$B$7)/100)*Parámetros!$B$15)+Parámetros!$B$16)-J5*(((1-Parámetros!$B$8/100)*Parámetros!$B$11+(Parámetros!$B$8/100)*Parámetros!$B$12)+((Parámetros!$B$6/100)*Parámetros!$B$13+(Parámetros!$B$7/100)*Parámetros!$B$14+((100-Parámetros!$B$6-Parámetros!$B$7)/100)*Parámetros!$B$15)+Parámetros!$B$16)*2/Parámetros!$B$68)*Parámetros!$B$66/100)+(K5*(((1-Parámetros!$B$8/100)*Parámetros!$B$11+(Parámetros!$B$8/100)*Parámetros!$B$12)+((Parámetros!$B$6/100)*Parámetros!$B$13+(Parámetros!$B$7/100)*Parámetros!$B$14+((100-Parámetros!$B$6-Parámetros!$B$7)/100)*Parámetros!$B$15)+Parámetros!$B$16)/Parámetros!$B$68+(K5*(((1-Parámetros!$B$8/100)*Parámetros!$B$11+(Parámetros!$B$8/100)*Parámetros!$B$12)+((Parámetros!$B$6/100)*Parámetros!$B$13+(Parámetros!$B$7/100)*Parámetros!$B$14+((100-Parámetros!$B$6-Parámetros!$B$7)/100)*Parámetros!$B$15)+Parámetros!$B$16)-K5*(((1-Parámetros!$B$8/100)*Parámetros!$B$11+(Parámetros!$B$8/100)*Parámetros!$B$12)+((Parámetros!$B$6/100)*Parámetros!$B$13+(Parámetros!$B$7/100)*Parámetros!$B$14+((100-Parámetros!$B$6-Parámetros!$B$7)/100)*Parámetros!$B$15)+Parámetros!$B$16)*1/Parámetros!$B$68)*Parámetros!$B$66/100)+(L5*(((1-Parámetros!$B$8/100)*Parámetros!$B$11+(Parámetros!$B$8/100)*Parámetros!$B$12)+((Parámetros!$B$6/100)*Parámetros!$B$13+(Parámetros!$B$7/100)*Parámetros!$B$14+((100-Parámetros!$B$6-Parámetros!$B$7)/100)*Parámetros!$B$15)+Parámetros!$B$16)/Parámetros!$B$68+(L5*(((1-Parámetros!$B$8/100)*Parámetros!$B$11+(Parámetros!$B$8/100)*Parámetros!$B$12)+((Parámetros!$B$6/100)*Parámetros!$B$13+(Parámetros!$B$7/100)*Parámetros!$B$14+((100-Parámetros!$B$6-Parámetros!$B$7)/100)*Parámetros!$B$15)+Parámetros!$B$16)-L5*(((1-Parámetros!$B$8/100)*Parámetros!$B$11+(Parámetros!$B$8/100)*Parámetros!$B$12)+((Parámetros!$B$6/100)*Parámetros!$B$13+(Parámetros!$B$7/100)*Parámetros!$B$14+((100-Parámetros!$B$6-Parámetros!$B$7)/100)*Parámetros!$B$15)+Parámetros!$B$16)*0/Parámetros!$B$68)*Parámetros!$B$66/100)</f>
      </c>
    </row>
    <row r="40" ht="20" customHeight="1" spans="1:12" x14ac:dyDescent="0.25">
      <c r="A40" s="27" t="s">
        <v>139</v>
      </c>
      <c r="B40" s="28">
        <f>B38+B39</f>
      </c>
      <c r="C40" s="28">
        <f>C38+C39</f>
      </c>
      <c r="D40" s="28">
        <f>D38+D39</f>
      </c>
      <c r="E40" s="28">
        <f>E38+E39</f>
      </c>
      <c r="F40" s="28">
        <f>F38+F39</f>
      </c>
      <c r="G40" s="28">
        <f>G38+G39</f>
      </c>
      <c r="H40" s="28">
        <f>H38+H39</f>
      </c>
      <c r="I40" s="28">
        <f>I38+I39</f>
      </c>
      <c r="J40" s="28">
        <f>J38+J39</f>
      </c>
      <c r="K40" s="28">
        <f>K38+K39</f>
      </c>
      <c r="L40" s="28">
        <f>L38+L39</f>
      </c>
    </row>
    <row r="41" ht="20" customHeight="1" x14ac:dyDescent="0.25"/>
    <row r="42" ht="20" customHeight="1" spans="1:12" x14ac:dyDescent="0.25">
      <c r="A42" s="1" t="s">
        <v>140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20" customHeight="1" spans="1:12" x14ac:dyDescent="0.25">
      <c r="A43" s="29" t="s">
        <v>141</v>
      </c>
      <c r="B43" s="30">
        <f>B35+B40-B22-B14</f>
      </c>
      <c r="C43" s="30">
        <f>C35+C40-C22-C14</f>
      </c>
      <c r="D43" s="30">
        <f>D35+D40-D22-D14</f>
      </c>
      <c r="E43" s="30">
        <f>E35+E40-E22-E14</f>
      </c>
      <c r="F43" s="30">
        <f>F35+F40-F22-F14</f>
      </c>
      <c r="G43" s="30">
        <f>G35+G40-G22-G14</f>
      </c>
      <c r="H43" s="30">
        <f>H35+H40-H22-H14</f>
      </c>
      <c r="I43" s="30">
        <f>I35+I40-I22-I14</f>
      </c>
      <c r="J43" s="30">
        <f>J35+J40-J22-J14</f>
      </c>
      <c r="K43" s="30">
        <f>K35+K40-K22-K14</f>
      </c>
      <c r="L43" s="30">
        <f>L35+L40-L22-L14</f>
      </c>
    </row>
    <row r="44" ht="20" customHeight="1" spans="1:12" x14ac:dyDescent="0.25">
      <c r="A44" s="31" t="s">
        <v>142</v>
      </c>
      <c r="B44" s="32">
        <f>B43/(1+Parámetros!$B$5/100)^0</f>
      </c>
      <c r="C44" s="32">
        <f>C43/(1+Parámetros!$B$5/100)^1</f>
      </c>
      <c r="D44" s="32">
        <f>D43/(1+Parámetros!$B$5/100)^2</f>
      </c>
      <c r="E44" s="32">
        <f>E43/(1+Parámetros!$B$5/100)^3</f>
      </c>
      <c r="F44" s="32">
        <f>F43/(1+Parámetros!$B$5/100)^4</f>
      </c>
      <c r="G44" s="32">
        <f>G43/(1+Parámetros!$B$5/100)^5</f>
      </c>
      <c r="H44" s="32">
        <f>H43/(1+Parámetros!$B$5/100)^6</f>
      </c>
      <c r="I44" s="32">
        <f>I43/(1+Parámetros!$B$5/100)^7</f>
      </c>
      <c r="J44" s="32">
        <f>J43/(1+Parámetros!$B$5/100)^8</f>
      </c>
      <c r="K44" s="32">
        <f>K43/(1+Parámetros!$B$5/100)^9</f>
      </c>
      <c r="L44" s="32">
        <f>L43/(1+Parámetros!$B$5/100)^10</f>
      </c>
    </row>
    <row r="45" ht="20" customHeight="1" spans="1:12" x14ac:dyDescent="0.25">
      <c r="A45" s="31" t="s">
        <v>143</v>
      </c>
      <c r="B45" s="32">
        <f>B44</f>
      </c>
      <c r="C45" s="32">
        <f>SUM(B44:C44)</f>
      </c>
      <c r="D45" s="32">
        <f>SUM(B44:D44)</f>
      </c>
      <c r="E45" s="32">
        <f>SUM(B44:E44)</f>
      </c>
      <c r="F45" s="32">
        <f>SUM(B44:F44)</f>
      </c>
      <c r="G45" s="32">
        <f>SUM(B44:G44)</f>
      </c>
      <c r="H45" s="32">
        <f>SUM(B44:H44)</f>
      </c>
      <c r="I45" s="32">
        <f>SUM(B44:I44)</f>
      </c>
      <c r="J45" s="32">
        <f>SUM(B44:J44)</f>
      </c>
      <c r="K45" s="32">
        <f>SUM(B44:K44)</f>
      </c>
      <c r="L45" s="32">
        <f>SUM(B44:L44)</f>
      </c>
    </row>
    <row r="46" ht="20" customHeight="1" x14ac:dyDescent="0.25"/>
  </sheetData>
  <autoFilter ref="A1:L1"/>
  <mergeCells count="6">
    <mergeCell ref="A4:L4"/>
    <mergeCell ref="A9:L9"/>
    <mergeCell ref="A16:L16"/>
    <mergeCell ref="A24:L24"/>
    <mergeCell ref="A37:L37"/>
    <mergeCell ref="A42:L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Parámetros</vt:lpstr>
      <vt:lpstr>Flujo de Fondos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Simulator - Edesur 2026</dc:creator>
  <dc:title/>
  <dc:subject/>
  <dc:description/>
  <cp:keywords/>
  <cp:category/>
  <cp:lastModifiedBy>Unknown</cp:lastModifiedBy>
  <dcterms:created xsi:type="dcterms:W3CDTF">2026-06-25T19:48:49Z</dcterms:created>
  <dcterms:modified xsi:type="dcterms:W3CDTF">2026-06-25T19:48:49Z</dcterms:modified>
</cp:coreProperties>
</file>