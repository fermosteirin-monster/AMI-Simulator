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ámetros" state="visible" r:id="rId4"/>
    <sheet sheetId="2" name="Flujo de Fondos" state="visible" r:id="rId5"/>
    <sheet sheetId="3" name="Indicadores" state="visible" r:id="rId6"/>
  </sheets>
  <calcPr calcId="171027"/>
</workbook>
</file>

<file path=xl/sharedStrings.xml><?xml version="1.0" encoding="utf-8"?>
<sst xmlns="http://schemas.openxmlformats.org/spreadsheetml/2006/main" count="256" uniqueCount="207">
  <si>
    <t>Parámetro</t>
  </si>
  <si>
    <t>Valor</t>
  </si>
  <si>
    <t>Unidad</t>
  </si>
  <si>
    <t>GLOBAL — Proyecto</t>
  </si>
  <si>
    <t>Total Suministros (Medidores)</t>
  </si>
  <si>
    <t>unidades</t>
  </si>
  <si>
    <t>Horizonte de Análisis</t>
  </si>
  <si>
    <t>años</t>
  </si>
  <si>
    <t>WACC del Proyecto</t>
  </si>
  <si>
    <t>%</t>
  </si>
  <si>
    <t>Mix Wi-SUN</t>
  </si>
  <si>
    <t>Mix PLC</t>
  </si>
  <si>
    <t>Mix Medidores T2/T3</t>
  </si>
  <si>
    <t>Rampa Inicial Año 1</t>
  </si>
  <si>
    <t>CAPEX — Medidores e Instalación</t>
  </si>
  <si>
    <t>Costo Medidor T1</t>
  </si>
  <si>
    <t>USD/unidad</t>
  </si>
  <si>
    <t>Costo Medidor T2/T3</t>
  </si>
  <si>
    <t>Módulo Comunicación Wi-SUN</t>
  </si>
  <si>
    <t>Módulo Comunicación PLC</t>
  </si>
  <si>
    <t>Módulo Comunicación P2P/Celular</t>
  </si>
  <si>
    <t>Costo Instalación (MO)</t>
  </si>
  <si>
    <t>Logística por Medidor</t>
  </si>
  <si>
    <t>Concentrador PLC</t>
  </si>
  <si>
    <t>USD/nodo</t>
  </si>
  <si>
    <t>Focal Point Wi-SUN</t>
  </si>
  <si>
    <t>Medidores por Concentrador PLC</t>
  </si>
  <si>
    <t>und/nodo</t>
  </si>
  <si>
    <t>Medidores por Focal Point Wi-SUN</t>
  </si>
  <si>
    <t>CAPEX — Plataforma IT</t>
  </si>
  <si>
    <t>Costo Integración IT Total</t>
  </si>
  <si>
    <t>USD</t>
  </si>
  <si>
    <t>Costo Project Management</t>
  </si>
  <si>
    <t>Desembolso IT Año 0</t>
  </si>
  <si>
    <t>Desembolso IT Año 1</t>
  </si>
  <si>
    <t>Desembolso IT Año 2</t>
  </si>
  <si>
    <t>Desembolso IT Año 3</t>
  </si>
  <si>
    <t>OPEX</t>
  </si>
  <si>
    <t>Mantenimiento IT Anual</t>
  </si>
  <si>
    <t>USD/año</t>
  </si>
  <si>
    <t>Licencias SaaS Anual</t>
  </si>
  <si>
    <t>Administración y Soporte</t>
  </si>
  <si>
    <t>Telecomunicaciones P2P (mensual/medidor)</t>
  </si>
  <si>
    <t>USD/med/mes</t>
  </si>
  <si>
    <t>Cloud Mensual (base fija)</t>
  </si>
  <si>
    <t>USD/mes</t>
  </si>
  <si>
    <t>BENEFICIOS — Operacionales</t>
  </si>
  <si>
    <t>Volumen Lecturas Manuales Anuales</t>
  </si>
  <si>
    <t>lecturas</t>
  </si>
  <si>
    <t>Costo Unitario por Lectura</t>
  </si>
  <si>
    <t>USD/lectura</t>
  </si>
  <si>
    <t>Cortes Anuales (manual)</t>
  </si>
  <si>
    <t>eventos</t>
  </si>
  <si>
    <t>Reposiciones Anuales (manual)</t>
  </si>
  <si>
    <t>Costo Despacho Cuadrilla</t>
  </si>
  <si>
    <t>USD/visita</t>
  </si>
  <si>
    <t>Visitas Improductivas Evitadas</t>
  </si>
  <si>
    <t>visitas/año</t>
  </si>
  <si>
    <t>Visitas Reiterativas Evitadas</t>
  </si>
  <si>
    <t>Visitas de Calidad Evitadas</t>
  </si>
  <si>
    <t>Costo Despacho Cuadrilla Guardia</t>
  </si>
  <si>
    <t>BENEFICIOS — Regulatorios / Multas</t>
  </si>
  <si>
    <t>SAIDI Histórico</t>
  </si>
  <si>
    <t>minutos</t>
  </si>
  <si>
    <t>Reducción SAIDI esperada</t>
  </si>
  <si>
    <t>Penalidad por Minuto SAIDI</t>
  </si>
  <si>
    <t>USD/min</t>
  </si>
  <si>
    <t>Multas por Estimación (base anual)</t>
  </si>
  <si>
    <t>Multas Apartamiento (base anual)</t>
  </si>
  <si>
    <t>Mejora Apartamiento esperada</t>
  </si>
  <si>
    <t>Multas Incumplimiento (base anual)</t>
  </si>
  <si>
    <t>Mejora Incumplimiento esperada</t>
  </si>
  <si>
    <t>BENEFICIOS — Comerciales</t>
  </si>
  <si>
    <t>Reclamos Facturación Evitados</t>
  </si>
  <si>
    <t>reclamos/año</t>
  </si>
  <si>
    <t>Llamadas Inbound Evitadas</t>
  </si>
  <si>
    <t>llamadas/año</t>
  </si>
  <si>
    <t>Costo Unitario Call Center</t>
  </si>
  <si>
    <t>USD/llamada</t>
  </si>
  <si>
    <t>Reclamos Resarcimiento Artefactos (base)</t>
  </si>
  <si>
    <t>Reducción Resarcimientos esperada</t>
  </si>
  <si>
    <t>BENEFICIOS — Recupero Fraude</t>
  </si>
  <si>
    <t>Pérdidas No Técnicas (base)</t>
  </si>
  <si>
    <t>GWh</t>
  </si>
  <si>
    <t>Tasa de Recupero esperada</t>
  </si>
  <si>
    <t>Costo Energía Mayorista (MEM)</t>
  </si>
  <si>
    <t>USD/GWh</t>
  </si>
  <si>
    <t>Tarifa Comercial Promedio</t>
  </si>
  <si>
    <t>REGULATORIO — VAD (ENRE)</t>
  </si>
  <si>
    <t>WACC Reconocido ENRE</t>
  </si>
  <si>
    <t>CAPEX Medidor Reconocido Fase 1</t>
  </si>
  <si>
    <t>USD/und</t>
  </si>
  <si>
    <t>Vida Útil Regulatoria Medidor</t>
  </si>
  <si>
    <t>Vida Útil Regulatoria Plataforma IT</t>
  </si>
  <si>
    <t>Subsidio ENRE IT</t>
  </si>
  <si>
    <t>Concepto / Fórmula</t>
  </si>
  <si>
    <t>Año 0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</si>
  <si>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</si>
  <si>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</si>
  <si>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</si>
  <si>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</si>
  <si>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</si>
  <si>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</si>
  <si>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</si>
  <si>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</si>
  <si>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</si>
  <si>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</si>
  <si>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DESPLIEGUE DE MEDIDORES</t>
  </si>
  <si>
    <t xml:space="preserve">  └ SM Instalados en el Año</t>
  </si>
  <si>
    <t xml:space="preserve">  └ SM Acumulados (Total Red)</t>
  </si>
  <si>
    <t xml:space="preserve">  └ Avance del Despliegue</t>
  </si>
  <si>
    <t>CAPEX — INVERSIÓN</t>
  </si>
  <si>
    <t xml:space="preserve">  └ CAPEX IT y PM</t>
  </si>
  <si>
    <t xml:space="preserve">  └ CAPEX Hardware (Medidores + Módulos Comms)</t>
  </si>
  <si>
    <t xml:space="preserve">  └ CAPEX Instalación y Logística</t>
  </si>
  <si>
    <t xml:space="preserve">  └ CAPEX Infraestructura (Nodos de Red)</t>
  </si>
  <si>
    <t>CAPEX TOTAL</t>
  </si>
  <si>
    <t>OPEX — COSTOS OPERATIVOS</t>
  </si>
  <si>
    <t xml:space="preserve">  └ Mantenimiento IT</t>
  </si>
  <si>
    <t xml:space="preserve">  └ Licencias SaaS</t>
  </si>
  <si>
    <t xml:space="preserve">  └ Administración y Soporte (Personal)</t>
  </si>
  <si>
    <t xml:space="preserve">  └ Telecomunicaciones P2P (var. según red activa)</t>
  </si>
  <si>
    <t xml:space="preserve">  └ Cloud (base mensual fija)</t>
  </si>
  <si>
    <t>OPEX TOTAL</t>
  </si>
  <si>
    <t>BENEFICIOS — SAVINGS OPERACIONALES Y REGULATORIOS</t>
  </si>
  <si>
    <t xml:space="preserve">  └ Lecturas Manuales Evitadas</t>
  </si>
  <si>
    <t xml:space="preserve">  └ Cortes y Reposiciones Remotas (cuadrilla evitada)</t>
  </si>
  <si>
    <t xml:space="preserve">  └ Visitas Improductivas + Reiterativas + Calidad Evitadas</t>
  </si>
  <si>
    <t xml:space="preserve">  └ Reducción Multas SAIDI (minutos × penalidad)</t>
  </si>
  <si>
    <t xml:space="preserve">  └ Reducción Multas por Estimación</t>
  </si>
  <si>
    <t xml:space="preserve">  └ Reducción Multas Apartamiento (Calidad de Producto)</t>
  </si>
  <si>
    <t xml:space="preserve">  └ Reducción Multas de Incumplimiento Regulatorio</t>
  </si>
  <si>
    <t xml:space="preserve">  └ Reducción Reclamos y Llamadas Call Center</t>
  </si>
  <si>
    <t xml:space="preserve">  └ Reducción Resarcimientos por Artefactos Quemados</t>
  </si>
  <si>
    <t xml:space="preserve">  └ Recupero Pérdidas No Técnicas / Fraude</t>
  </si>
  <si>
    <t>BENEFICIOS TOTALES</t>
  </si>
  <si>
    <t>INGRESOS VAD — RECONOCIMIENTO TARIFARIO ENRE</t>
  </si>
  <si>
    <t xml:space="preserve">  └ VAD IT (Amortización + Retorno RAB — Plataforma)</t>
  </si>
  <si>
    <t xml:space="preserve">  └ VAD Medidores (Amortización + Retorno RAB — por Cohorte)</t>
  </si>
  <si>
    <t>INGRESOS VAD TOTALES</t>
  </si>
  <si>
    <t>FLUJO DE CAJA</t>
  </si>
  <si>
    <t>Flujo de Caja Libre (FCF)</t>
  </si>
  <si>
    <t xml:space="preserve">  └ FCF Descontado al WACC del Proyecto</t>
  </si>
  <si>
    <t xml:space="preserve">  └ VPN Acumulado</t>
  </si>
  <si>
    <t>📊 INDICADORES FINANCIEROS — AMI Baseline (Edesur 2026)</t>
  </si>
  <si>
    <t>Horizonte: 10 años | WACC: 14.2% | Medidores: 2.700.000 | Curva: Lineal</t>
  </si>
  <si>
    <t>1. VALOR PRESENTE NETO (VPN)</t>
  </si>
  <si>
    <t>VPN del Proyecto</t>
  </si>
  <si>
    <t>Suma de todos los FCF anuales descontados al WACC (14.2%). Un VPN &gt; 0 indica que el proyecto crea valor por encima del costo de capital.</t>
  </si>
  <si>
    <t xml:space="preserve">  └ CAPEX Total Nominal (sin descontar)</t>
  </si>
  <si>
    <t>Inversión total ejecutada a lo largo del horizonte.</t>
  </si>
  <si>
    <t xml:space="preserve">  └ OPEX Total Nominal (sin descontar)</t>
  </si>
  <si>
    <t>Costos operativos acumulados del proyecto.</t>
  </si>
  <si>
    <t xml:space="preserve">  └ Beneficios Totales Nominales</t>
  </si>
  <si>
    <t>Suma de todos los savings operacionales y regulatorios (sin descontar).</t>
  </si>
  <si>
    <t xml:space="preserve">  └ Ingresos VAD Totales Nominales</t>
  </si>
  <si>
    <t>Flujos de ingreso tarifario reconocidos por el ENRE (sin descontar).</t>
  </si>
  <si>
    <t>2. TASA INTERNA DE RETORNO (TIR / IRR)</t>
  </si>
  <si>
    <t>TIR del Proyecto</t>
  </si>
  <si>
    <t>Tasa que hace el VPN = 0. Se calcula con IRR() de Excel sobre los FCF anuales (Año 0 a Año 10). Debe compararse contra el WACC (14.2%): TIR &gt; WACC → proyecto viable.</t>
  </si>
  <si>
    <t xml:space="preserve">  └ WACC del Proyecto (umbral mínimo)</t>
  </si>
  <si>
    <t>Si TIR &gt; WACC → el proyecto supera el costo de capital.</t>
  </si>
  <si>
    <t xml:space="preserve">  └ Spread TIR - WACC</t>
  </si>
  <si>
    <t>Cuánto supera la TIR al costo de capital. Spread positivo = creación de valor.</t>
  </si>
  <si>
    <t>3. RETORNO SOBRE LA INVERSIÓN (ROI)</t>
  </si>
  <si>
    <t>ROI Nominal del Proyecto</t>
  </si>
  <si>
    <t>ROI = (Ingresos Totales Netos de OPEX - CAPEX Total) / CAPEX Total. Mide cuánto retorna el proyecto sobre cada USD invertido, en términos nominales (sin descontar).</t>
  </si>
  <si>
    <t xml:space="preserve">  └ Total Ingresos Netos de OPEX (nominales)</t>
  </si>
  <si>
    <t>Suma de Beneficios + VAD - OPEX a lo largo de todo el horizonte.</t>
  </si>
  <si>
    <t xml:space="preserve">  └ Total CAPEX (nominal)</t>
  </si>
  <si>
    <t>Inversión total ejecutada.</t>
  </si>
  <si>
    <t>4. ÍNDICE DE RENTABILIDAD (Profitability Index — PI)</t>
  </si>
  <si>
    <t>Profitability Index (PI)</t>
  </si>
  <si>
    <t>PI = VP(Ingresos Netos) / VP(CAPEX). PI &gt; 1 indica que el valor presente de los ingresos supera el valor presente de las inversiones. Un PI = 1.3 significa que por cada USD invertido, se generan USD 1.30 en valor descontado.</t>
  </si>
  <si>
    <t xml:space="preserve">  └ VP del CAPEX Total (descontado)</t>
  </si>
  <si>
    <t>Valor presente de todas las inversiones de capital.</t>
  </si>
  <si>
    <t xml:space="preserve">  └ VP de Ingresos Netos (descontado)</t>
  </si>
  <si>
    <t>VP(Beneficios + VAD - OPEX).</t>
  </si>
  <si>
    <t>5. PERÍODO DE RECUPERO (Payback)</t>
  </si>
  <si>
    <t>Año</t>
  </si>
  <si>
    <t>FCF Año</t>
  </si>
  <si>
    <t>FCF Acumulado (nominal)</t>
  </si>
  <si>
    <t>FCF Acumulado (descontado)</t>
  </si>
  <si>
    <t>Payback Simple (años)</t>
  </si>
  <si>
    <t>Primer año en el que el FCF acumulado nominal es mayor o igual a cero. Indica cuándo se recupera la inversión en términos corrientes.</t>
  </si>
  <si>
    <t>Payback Descontado (años)</t>
  </si>
  <si>
    <t>Primer año en el que el VPN acumulado (FCF descontado al WACC) es mayor o igual a cero. Es el indicador más conservador de recupero.</t>
  </si>
  <si>
    <t>6. MÉTRICAS UNITARIAS POR MEDIDOR</t>
  </si>
  <si>
    <t>CAPEX por Medidor (promedio)</t>
  </si>
  <si>
    <t>Costo de inversión total dividido por el total de medidores instalados. Incluye hardware, instalación, IT e infraestructura.</t>
  </si>
  <si>
    <t>Beneficio por Medidor (régimen anual)</t>
  </si>
  <si>
    <t>Savings anuales en régimen por cada medidor activo en la red. Mide la "productividad económica" de cada punto de medición.</t>
  </si>
  <si>
    <t>OPEX por Medidor en Régimen</t>
  </si>
  <si>
    <t>Costo operativo anual por medidor activo (telecom, cloud, mantenimiento, etc.).</t>
  </si>
  <si>
    <t>7. RESUMEN EJECUTIVO — SEMÁFORO</t>
  </si>
  <si>
    <t>Indicador</t>
  </si>
  <si>
    <t>Referencia / Umbral</t>
  </si>
  <si>
    <t>VPN</t>
  </si>
  <si>
    <t>&gt; 0 USD → Proyecto crea valor</t>
  </si>
  <si>
    <t>TIR</t>
  </si>
  <si>
    <t>&gt; Parámetros!$B$5/100 → supera el WACC</t>
  </si>
  <si>
    <t>ROI Nominal</t>
  </si>
  <si>
    <t>&gt; 0% → Rentable sobre el capital</t>
  </si>
  <si>
    <t>PI</t>
  </si>
  <si>
    <t>&gt; 1.0 → VP ingresos supera VP inversión</t>
  </si>
  <si>
    <t>Payback Descontado</t>
  </si>
  <si>
    <t>&lt; Parámetros!$B$4 años (horizonte del proyecto)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</si>
</sst>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#,##0 &quot;USD&quot;"/>
    <numFmt numFmtId="166" formatCode="0.00&quot;%&quot;"/>
    <numFmt numFmtId="167" formatCode="0.000"/>
    <numFmt numFmtId="168" formatCode="0 &quot;años&quot;"/>
    <numFmt numFmtId="169" formatCode="#,##0.00 &quot;USD/SM&quot;"/>
    <numFmt numFmtId="170" formatCode="#,##0.00 &quot;USD/SM/año&quot;"/>
  </numFmts>
  <fonts count="9" x14ac:knownFonts="1">
    <font>
      <color theme="1"/>
      <family val="2"/>
      <scheme val="minor"/>
      <sz val="11"/>
      <name val="Calibri"/>
    </font>
    <font>
      <b/>
      <color rgb="FFFFFFFF"/>
    </font>
    <font>
      <b/>
      <i/>
      <color rgb="FF1E3A5F"/>
    </font>
    <font>
      <b/>
    </font>
    <font>
      <color rgb="FFFFFFFF"/>
    </font>
    <font>
      <b/>
      <color rgb="FFFFFFFF"/>
      <sz val="12"/>
    </font>
    <font>
      <i/>
      <color rgb="FF666666"/>
    </font>
    <font>
      <b/>
      <sz val="12"/>
    </font>
    <font>
      <i/>
    </font>
  </fonts>
  <fills count="1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6F1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7CE"/>
      </patternFill>
    </fill>
    <fill>
      <patternFill patternType="solid">
        <fgColor rgb="FFE26B0A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EDE7F6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4" fontId="0" fillId="0" borderId="0" xfId="0" applyNumberFormat="1"/>
    <xf numFmtId="0" fontId="1" fillId="4" borderId="0" xfId="0" applyFont="1" applyFill="1"/>
    <xf numFmtId="0" fontId="0" fillId="5" borderId="0" xfId="0" applyFill="1"/>
    <xf numFmtId="3" fontId="0" fillId="5" borderId="0" xfId="0" applyNumberFormat="1" applyFill="1" applyAlignment="1">
      <alignment horizontal="right" vertical="center"/>
    </xf>
    <xf numFmtId="164" fontId="0" fillId="5" borderId="0" xfId="0" applyNumberFormat="1" applyFill="1" applyAlignment="1">
      <alignment horizontal="right" vertical="center"/>
    </xf>
    <xf numFmtId="0" fontId="1" fillId="6" borderId="0" xfId="0" applyFont="1" applyFill="1"/>
    <xf numFmtId="0" fontId="0" fillId="7" borderId="0" xfId="0" applyFill="1"/>
    <xf numFmtId="3" fontId="0" fillId="7" borderId="0" xfId="0" applyNumberFormat="1" applyFill="1" applyAlignment="1">
      <alignment horizontal="right" vertical="center"/>
    </xf>
    <xf numFmtId="0" fontId="3" fillId="7" borderId="0" xfId="0" applyFont="1" applyFill="1"/>
    <xf numFmtId="0" fontId="1" fillId="8" borderId="0" xfId="0" applyFont="1" applyFill="1"/>
    <xf numFmtId="0" fontId="0" fillId="9" borderId="0" xfId="0" applyFill="1"/>
    <xf numFmtId="3" fontId="0" fillId="9" borderId="0" xfId="0" applyNumberFormat="1" applyFill="1" applyAlignment="1">
      <alignment horizontal="right" vertical="center"/>
    </xf>
    <xf numFmtId="0" fontId="3" fillId="9" borderId="0" xfId="0" applyFont="1" applyFill="1"/>
    <xf numFmtId="0" fontId="1" fillId="10" borderId="0" xfId="0" applyFont="1" applyFill="1"/>
    <xf numFmtId="0" fontId="0" fillId="11" borderId="0" xfId="0" applyFill="1"/>
    <xf numFmtId="3" fontId="0" fillId="11" borderId="0" xfId="0" applyNumberFormat="1" applyFill="1" applyAlignment="1">
      <alignment horizontal="right" vertical="center"/>
    </xf>
    <xf numFmtId="0" fontId="3" fillId="11" borderId="0" xfId="0" applyFont="1" applyFill="1"/>
    <xf numFmtId="0" fontId="1" fillId="12" borderId="0" xfId="0" applyFont="1" applyFill="1"/>
    <xf numFmtId="0" fontId="0" fillId="13" borderId="0" xfId="0" applyFill="1"/>
    <xf numFmtId="3" fontId="0" fillId="13" borderId="0" xfId="0" applyNumberFormat="1" applyFill="1" applyAlignment="1">
      <alignment horizontal="right" vertical="center"/>
    </xf>
    <xf numFmtId="0" fontId="1" fillId="13" borderId="0" xfId="0" applyFont="1" applyFill="1"/>
    <xf numFmtId="3" fontId="4" fillId="13" borderId="0" xfId="0" applyNumberFormat="1" applyFont="1" applyFill="1" applyAlignment="1">
      <alignment horizontal="right" vertical="center"/>
    </xf>
    <xf numFmtId="0" fontId="3" fillId="5" borderId="0" xfId="0" applyFont="1" applyFill="1"/>
    <xf numFmtId="0" fontId="5" fillId="2" borderId="0" xfId="0" applyFont="1" applyFill="1"/>
    <xf numFmtId="0" fontId="6" fillId="0" borderId="0" xfId="0" applyFont="1"/>
    <xf numFmtId="0" fontId="3" fillId="11" borderId="1" xfId="0" applyFont="1" applyFill="1" applyBorder="1"/>
    <xf numFmtId="165" fontId="7" fillId="11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165" fontId="0" fillId="0" borderId="0" xfId="0" applyNumberFormat="1" applyAlignment="1">
      <alignment horizontal="right" vertical="center"/>
    </xf>
    <xf numFmtId="0" fontId="8" fillId="0" borderId="0" xfId="0" applyFont="1"/>
    <xf numFmtId="10" fontId="7" fillId="11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3" fillId="15" borderId="1" xfId="0" applyFont="1" applyFill="1" applyBorder="1"/>
    <xf numFmtId="10" fontId="7" fillId="15" borderId="1" xfId="0" applyNumberFormat="1" applyFont="1" applyFill="1" applyBorder="1" applyAlignment="1">
      <alignment horizontal="center" vertical="center"/>
    </xf>
    <xf numFmtId="167" fontId="7" fillId="15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/>
    </xf>
    <xf numFmtId="3" fontId="0" fillId="11" borderId="0" xfId="0" applyNumberFormat="1" applyFill="1" applyAlignment="1">
      <alignment horizontal="right"/>
    </xf>
    <xf numFmtId="168" fontId="7" fillId="15" borderId="1" xfId="0" applyNumberFormat="1" applyFont="1" applyFill="1" applyBorder="1" applyAlignment="1">
      <alignment horizontal="center" vertical="center"/>
    </xf>
    <xf numFmtId="169" fontId="7" fillId="15" borderId="1" xfId="0" applyNumberFormat="1" applyFont="1" applyFill="1" applyBorder="1" applyAlignment="1">
      <alignment horizontal="center" vertical="center"/>
    </xf>
    <xf numFmtId="170" fontId="7" fillId="15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8" fillId="0" borderId="1" xfId="0" applyFont="1" applyBorder="1"/>
    <xf numFmtId="10" fontId="3" fillId="11" borderId="1" xfId="0" applyNumberFormat="1" applyFont="1" applyFill="1" applyBorder="1" applyAlignment="1">
      <alignment horizontal="center" vertical="center"/>
    </xf>
    <xf numFmtId="167" fontId="3" fillId="11" borderId="1" xfId="0" applyNumberFormat="1" applyFont="1" applyFill="1" applyBorder="1" applyAlignment="1">
      <alignment horizontal="center" vertical="center"/>
    </xf>
    <xf numFmtId="168" fontId="3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FormatPr defaultRowHeight="15" outlineLevelRow="0" outlineLevelCol="0" x14ac:dyDescent="55"/>
  <cols>
    <col min="1" max="1" width="46" customWidth="1"/>
    <col min="2" max="2" width="20" customWidth="1"/>
    <col min="3" max="3" width="24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ht="18" customHeight="1" spans="1:3" x14ac:dyDescent="0.25">
      <c r="A2" s="2" t="s">
        <v>3</v>
      </c>
      <c r="B2" s="2"/>
      <c r="C2" s="2"/>
    </row>
    <row r="3" ht="16" customHeight="1" spans="1:3" x14ac:dyDescent="0.25">
      <c r="A3" t="s">
        <v>4</v>
      </c>
      <c r="B3" s="3">
        <v>2700000</v>
      </c>
      <c r="C3" t="s">
        <v>5</v>
      </c>
    </row>
    <row r="4" ht="16" customHeight="1" spans="1:3" x14ac:dyDescent="0.25">
      <c r="A4" t="s">
        <v>6</v>
      </c>
      <c r="B4" s="3">
        <v>10</v>
      </c>
      <c r="C4" t="s">
        <v>7</v>
      </c>
    </row>
    <row r="5" ht="16" customHeight="1" spans="1:3" x14ac:dyDescent="0.25">
      <c r="A5" t="s">
        <v>8</v>
      </c>
      <c r="B5" s="3">
        <v>14.2</v>
      </c>
      <c r="C5" t="s">
        <v>9</v>
      </c>
    </row>
    <row r="6" ht="16" customHeight="1" spans="1:3" x14ac:dyDescent="0.25">
      <c r="A6" t="s">
        <v>10</v>
      </c>
      <c r="B6" s="3">
        <v>20</v>
      </c>
      <c r="C6" t="s">
        <v>9</v>
      </c>
    </row>
    <row r="7" ht="16" customHeight="1" spans="1:3" x14ac:dyDescent="0.25">
      <c r="A7" t="s">
        <v>11</v>
      </c>
      <c r="B7" s="3">
        <v>75</v>
      </c>
      <c r="C7" t="s">
        <v>9</v>
      </c>
    </row>
    <row r="8" ht="16" customHeight="1" spans="1:3" x14ac:dyDescent="0.25">
      <c r="A8" t="s">
        <v>12</v>
      </c>
      <c r="B8" s="3">
        <v>2</v>
      </c>
      <c r="C8" t="s">
        <v>9</v>
      </c>
    </row>
    <row r="9" ht="16" customHeight="1" spans="1:3" x14ac:dyDescent="0.25">
      <c r="A9" t="s">
        <v>13</v>
      </c>
      <c r="B9" s="3">
        <v>100000</v>
      </c>
      <c r="C9" t="s">
        <v>5</v>
      </c>
    </row>
    <row r="10" ht="18" customHeight="1" spans="1:3" x14ac:dyDescent="0.25">
      <c r="A10" s="2" t="s">
        <v>14</v>
      </c>
      <c r="B10" s="2"/>
      <c r="C10" s="2"/>
    </row>
    <row r="11" ht="16" customHeight="1" spans="1:3" x14ac:dyDescent="0.25">
      <c r="A11" t="s">
        <v>15</v>
      </c>
      <c r="B11" s="3">
        <v>60</v>
      </c>
      <c r="C11" t="s">
        <v>16</v>
      </c>
    </row>
    <row r="12" ht="16" customHeight="1" spans="1:3" x14ac:dyDescent="0.25">
      <c r="A12" t="s">
        <v>17</v>
      </c>
      <c r="B12" s="3">
        <v>100</v>
      </c>
      <c r="C12" t="s">
        <v>16</v>
      </c>
    </row>
    <row r="13" ht="16" customHeight="1" spans="1:3" x14ac:dyDescent="0.25">
      <c r="A13" t="s">
        <v>18</v>
      </c>
      <c r="B13" s="3">
        <v>15</v>
      </c>
      <c r="C13" t="s">
        <v>16</v>
      </c>
    </row>
    <row r="14" ht="16" customHeight="1" spans="1:3" x14ac:dyDescent="0.25">
      <c r="A14" t="s">
        <v>19</v>
      </c>
      <c r="B14" s="3">
        <v>15</v>
      </c>
      <c r="C14" t="s">
        <v>16</v>
      </c>
    </row>
    <row r="15" ht="16" customHeight="1" spans="1:3" x14ac:dyDescent="0.25">
      <c r="A15" t="s">
        <v>20</v>
      </c>
      <c r="B15" s="3">
        <v>15</v>
      </c>
      <c r="C15" t="s">
        <v>16</v>
      </c>
    </row>
    <row r="16" ht="16" customHeight="1" spans="1:3" x14ac:dyDescent="0.25">
      <c r="A16" t="s">
        <v>21</v>
      </c>
      <c r="B16" s="3">
        <v>35</v>
      </c>
      <c r="C16" t="s">
        <v>16</v>
      </c>
    </row>
    <row r="17" ht="16" customHeight="1" spans="1:3" x14ac:dyDescent="0.25">
      <c r="A17" t="s">
        <v>22</v>
      </c>
      <c r="B17" s="3">
        <v>5</v>
      </c>
      <c r="C17" t="s">
        <v>16</v>
      </c>
    </row>
    <row r="18" ht="16" customHeight="1" spans="1:3" x14ac:dyDescent="0.25">
      <c r="A18" t="s">
        <v>23</v>
      </c>
      <c r="B18" s="3">
        <v>700</v>
      </c>
      <c r="C18" t="s">
        <v>24</v>
      </c>
    </row>
    <row r="19" ht="16" customHeight="1" spans="1:3" x14ac:dyDescent="0.25">
      <c r="A19" t="s">
        <v>25</v>
      </c>
      <c r="B19" s="3">
        <v>700</v>
      </c>
      <c r="C19" t="s">
        <v>24</v>
      </c>
    </row>
    <row r="20" ht="16" customHeight="1" spans="1:3" x14ac:dyDescent="0.25">
      <c r="A20" t="s">
        <v>26</v>
      </c>
      <c r="B20" s="3">
        <v>250</v>
      </c>
      <c r="C20" t="s">
        <v>27</v>
      </c>
    </row>
    <row r="21" ht="16" customHeight="1" spans="1:3" x14ac:dyDescent="0.25">
      <c r="A21" t="s">
        <v>28</v>
      </c>
      <c r="B21" s="3">
        <v>5000</v>
      </c>
      <c r="C21" t="s">
        <v>27</v>
      </c>
    </row>
    <row r="22" ht="18" customHeight="1" spans="1:3" x14ac:dyDescent="0.25">
      <c r="A22" s="2" t="s">
        <v>29</v>
      </c>
      <c r="B22" s="2"/>
      <c r="C22" s="2"/>
    </row>
    <row r="23" ht="16" customHeight="1" spans="1:3" x14ac:dyDescent="0.25">
      <c r="A23" t="s">
        <v>30</v>
      </c>
      <c r="B23" s="3">
        <v>15000000</v>
      </c>
      <c r="C23" t="s">
        <v>31</v>
      </c>
    </row>
    <row r="24" ht="16" customHeight="1" spans="1:3" x14ac:dyDescent="0.25">
      <c r="A24" t="s">
        <v>32</v>
      </c>
      <c r="B24" s="3">
        <v>1000000</v>
      </c>
      <c r="C24" t="s">
        <v>31</v>
      </c>
    </row>
    <row r="25" ht="16" customHeight="1" spans="1:3" x14ac:dyDescent="0.25">
      <c r="A25" t="s">
        <v>33</v>
      </c>
      <c r="B25" s="3">
        <v>40</v>
      </c>
      <c r="C25" t="s">
        <v>9</v>
      </c>
    </row>
    <row r="26" ht="16" customHeight="1" spans="1:3" x14ac:dyDescent="0.25">
      <c r="A26" t="s">
        <v>34</v>
      </c>
      <c r="B26" s="3">
        <v>30</v>
      </c>
      <c r="C26" t="s">
        <v>9</v>
      </c>
    </row>
    <row r="27" ht="16" customHeight="1" spans="1:3" x14ac:dyDescent="0.25">
      <c r="A27" t="s">
        <v>35</v>
      </c>
      <c r="B27" s="3">
        <v>20</v>
      </c>
      <c r="C27" t="s">
        <v>9</v>
      </c>
    </row>
    <row r="28" ht="16" customHeight="1" spans="1:3" x14ac:dyDescent="0.25">
      <c r="A28" t="s">
        <v>36</v>
      </c>
      <c r="B28" s="3">
        <v>10</v>
      </c>
      <c r="C28" t="s">
        <v>9</v>
      </c>
    </row>
    <row r="29" ht="18" customHeight="1" spans="1:3" x14ac:dyDescent="0.25">
      <c r="A29" s="2" t="s">
        <v>37</v>
      </c>
      <c r="B29" s="2"/>
      <c r="C29" s="2"/>
    </row>
    <row r="30" ht="16" customHeight="1" spans="1:3" x14ac:dyDescent="0.25">
      <c r="A30" t="s">
        <v>38</v>
      </c>
      <c r="B30" s="3">
        <v>500000</v>
      </c>
      <c r="C30" t="s">
        <v>39</v>
      </c>
    </row>
    <row r="31" ht="16" customHeight="1" spans="1:3" x14ac:dyDescent="0.25">
      <c r="A31" t="s">
        <v>40</v>
      </c>
      <c r="B31" s="3">
        <v>200000</v>
      </c>
      <c r="C31" t="s">
        <v>39</v>
      </c>
    </row>
    <row r="32" ht="16" customHeight="1" spans="1:3" x14ac:dyDescent="0.25">
      <c r="A32" t="s">
        <v>41</v>
      </c>
      <c r="B32" s="3">
        <v>500000</v>
      </c>
      <c r="C32" t="s">
        <v>39</v>
      </c>
    </row>
    <row r="33" ht="16" customHeight="1" spans="1:3" x14ac:dyDescent="0.25">
      <c r="A33" t="s">
        <v>42</v>
      </c>
      <c r="B33" s="3">
        <v>0.52</v>
      </c>
      <c r="C33" t="s">
        <v>43</v>
      </c>
    </row>
    <row r="34" ht="16" customHeight="1" spans="1:3" x14ac:dyDescent="0.25">
      <c r="A34" t="s">
        <v>44</v>
      </c>
      <c r="B34" s="3">
        <v>5000</v>
      </c>
      <c r="C34" t="s">
        <v>45</v>
      </c>
    </row>
    <row r="35" ht="18" customHeight="1" spans="1:3" x14ac:dyDescent="0.25">
      <c r="A35" s="2" t="s">
        <v>46</v>
      </c>
      <c r="B35" s="2"/>
      <c r="C35" s="2"/>
    </row>
    <row r="36" ht="16" customHeight="1" spans="1:3" x14ac:dyDescent="0.25">
      <c r="A36" t="s">
        <v>47</v>
      </c>
      <c r="B36" s="3">
        <v>32400000</v>
      </c>
      <c r="C36" t="s">
        <v>48</v>
      </c>
    </row>
    <row r="37" ht="16" customHeight="1" spans="1:3" x14ac:dyDescent="0.25">
      <c r="A37" t="s">
        <v>49</v>
      </c>
      <c r="B37" s="3">
        <v>0.25</v>
      </c>
      <c r="C37" t="s">
        <v>50</v>
      </c>
    </row>
    <row r="38" ht="16" customHeight="1" spans="1:3" x14ac:dyDescent="0.25">
      <c r="A38" t="s">
        <v>51</v>
      </c>
      <c r="B38" s="3">
        <v>318250</v>
      </c>
      <c r="C38" t="s">
        <v>52</v>
      </c>
    </row>
    <row r="39" ht="16" customHeight="1" spans="1:3" x14ac:dyDescent="0.25">
      <c r="A39" t="s">
        <v>53</v>
      </c>
      <c r="B39" s="3">
        <v>152000</v>
      </c>
      <c r="C39" t="s">
        <v>52</v>
      </c>
    </row>
    <row r="40" ht="16" customHeight="1" spans="1:3" x14ac:dyDescent="0.25">
      <c r="A40" t="s">
        <v>54</v>
      </c>
      <c r="B40" s="3">
        <v>14.6</v>
      </c>
      <c r="C40" t="s">
        <v>55</v>
      </c>
    </row>
    <row r="41" ht="16" customHeight="1" spans="1:3" x14ac:dyDescent="0.25">
      <c r="A41" t="s">
        <v>56</v>
      </c>
      <c r="B41" s="3">
        <v>75000</v>
      </c>
      <c r="C41" t="s">
        <v>57</v>
      </c>
    </row>
    <row r="42" ht="16" customHeight="1" spans="1:3" x14ac:dyDescent="0.25">
      <c r="A42" t="s">
        <v>58</v>
      </c>
      <c r="B42" s="3">
        <v>30000</v>
      </c>
      <c r="C42" t="s">
        <v>57</v>
      </c>
    </row>
    <row r="43" ht="16" customHeight="1" spans="1:3" x14ac:dyDescent="0.25">
      <c r="A43" t="s">
        <v>59</v>
      </c>
      <c r="B43" s="3">
        <v>20000</v>
      </c>
      <c r="C43" t="s">
        <v>57</v>
      </c>
    </row>
    <row r="44" ht="16" customHeight="1" spans="1:3" x14ac:dyDescent="0.25">
      <c r="A44" t="s">
        <v>60</v>
      </c>
      <c r="B44" s="3">
        <v>20</v>
      </c>
      <c r="C44" t="s">
        <v>55</v>
      </c>
    </row>
    <row r="45" ht="18" customHeight="1" spans="1:3" x14ac:dyDescent="0.25">
      <c r="A45" s="2" t="s">
        <v>61</v>
      </c>
      <c r="B45" s="2"/>
      <c r="C45" s="2"/>
    </row>
    <row r="46" ht="16" customHeight="1" spans="1:3" x14ac:dyDescent="0.25">
      <c r="A46" t="s">
        <v>62</v>
      </c>
      <c r="B46" s="3">
        <v>350</v>
      </c>
      <c r="C46" t="s">
        <v>63</v>
      </c>
    </row>
    <row r="47" ht="16" customHeight="1" spans="1:3" x14ac:dyDescent="0.25">
      <c r="A47" t="s">
        <v>64</v>
      </c>
      <c r="B47" s="3">
        <v>25</v>
      </c>
      <c r="C47" t="s">
        <v>9</v>
      </c>
    </row>
    <row r="48" ht="16" customHeight="1" spans="1:3" x14ac:dyDescent="0.25">
      <c r="A48" t="s">
        <v>65</v>
      </c>
      <c r="B48" s="3">
        <v>50000</v>
      </c>
      <c r="C48" t="s">
        <v>66</v>
      </c>
    </row>
    <row r="49" ht="16" customHeight="1" spans="1:3" x14ac:dyDescent="0.25">
      <c r="A49" t="s">
        <v>67</v>
      </c>
      <c r="B49" s="3">
        <v>2420000</v>
      </c>
      <c r="C49" t="s">
        <v>39</v>
      </c>
    </row>
    <row r="50" ht="16" customHeight="1" spans="1:3" x14ac:dyDescent="0.25">
      <c r="A50" t="s">
        <v>68</v>
      </c>
      <c r="B50" s="3">
        <v>5250000</v>
      </c>
      <c r="C50" t="s">
        <v>39</v>
      </c>
    </row>
    <row r="51" ht="16" customHeight="1" spans="1:3" x14ac:dyDescent="0.25">
      <c r="A51" t="s">
        <v>69</v>
      </c>
      <c r="B51" s="3">
        <v>20</v>
      </c>
      <c r="C51" t="s">
        <v>9</v>
      </c>
    </row>
    <row r="52" ht="16" customHeight="1" spans="1:3" x14ac:dyDescent="0.25">
      <c r="A52" t="s">
        <v>70</v>
      </c>
      <c r="B52" s="3">
        <v>700000</v>
      </c>
      <c r="C52" t="s">
        <v>39</v>
      </c>
    </row>
    <row r="53" ht="16" customHeight="1" spans="1:3" x14ac:dyDescent="0.25">
      <c r="A53" t="s">
        <v>71</v>
      </c>
      <c r="B53" s="3">
        <v>70</v>
      </c>
      <c r="C53" t="s">
        <v>9</v>
      </c>
    </row>
    <row r="54" ht="18" customHeight="1" spans="1:3" x14ac:dyDescent="0.25">
      <c r="A54" s="2" t="s">
        <v>72</v>
      </c>
      <c r="B54" s="2"/>
      <c r="C54" s="2"/>
    </row>
    <row r="55" ht="16" customHeight="1" spans="1:3" x14ac:dyDescent="0.25">
      <c r="A55" t="s">
        <v>73</v>
      </c>
      <c r="B55" s="3">
        <v>14500</v>
      </c>
      <c r="C55" t="s">
        <v>74</v>
      </c>
    </row>
    <row r="56" ht="16" customHeight="1" spans="1:3" x14ac:dyDescent="0.25">
      <c r="A56" t="s">
        <v>75</v>
      </c>
      <c r="B56" s="3">
        <v>46400</v>
      </c>
      <c r="C56" t="s">
        <v>76</v>
      </c>
    </row>
    <row r="57" ht="16" customHeight="1" spans="1:3" x14ac:dyDescent="0.25">
      <c r="A57" t="s">
        <v>77</v>
      </c>
      <c r="B57" s="3">
        <v>1.2</v>
      </c>
      <c r="C57" t="s">
        <v>78</v>
      </c>
    </row>
    <row r="58" ht="16" customHeight="1" spans="1:3" x14ac:dyDescent="0.25">
      <c r="A58" t="s">
        <v>79</v>
      </c>
      <c r="B58" s="3">
        <v>500000</v>
      </c>
      <c r="C58" t="s">
        <v>39</v>
      </c>
    </row>
    <row r="59" ht="16" customHeight="1" spans="1:3" x14ac:dyDescent="0.25">
      <c r="A59" t="s">
        <v>80</v>
      </c>
      <c r="B59" s="3">
        <v>30</v>
      </c>
      <c r="C59" t="s">
        <v>9</v>
      </c>
    </row>
    <row r="60" ht="18" customHeight="1" spans="1:3" x14ac:dyDescent="0.25">
      <c r="A60" s="2" t="s">
        <v>81</v>
      </c>
      <c r="B60" s="2"/>
      <c r="C60" s="2"/>
    </row>
    <row r="61" ht="16" customHeight="1" spans="1:3" x14ac:dyDescent="0.25">
      <c r="A61" t="s">
        <v>82</v>
      </c>
      <c r="B61" s="3">
        <v>2394</v>
      </c>
      <c r="C61" t="s">
        <v>83</v>
      </c>
    </row>
    <row r="62" ht="16" customHeight="1" spans="1:3" x14ac:dyDescent="0.25">
      <c r="A62" t="s">
        <v>84</v>
      </c>
      <c r="B62" s="3">
        <v>20</v>
      </c>
      <c r="C62" t="s">
        <v>9</v>
      </c>
    </row>
    <row r="63" ht="16" customHeight="1" spans="1:3" x14ac:dyDescent="0.25">
      <c r="A63" t="s">
        <v>85</v>
      </c>
      <c r="B63" s="3">
        <v>40000</v>
      </c>
      <c r="C63" t="s">
        <v>86</v>
      </c>
    </row>
    <row r="64" ht="16" customHeight="1" spans="1:3" x14ac:dyDescent="0.25">
      <c r="A64" t="s">
        <v>87</v>
      </c>
      <c r="B64" s="3">
        <v>97200</v>
      </c>
      <c r="C64" t="s">
        <v>86</v>
      </c>
    </row>
    <row r="65" ht="18" customHeight="1" spans="1:3" x14ac:dyDescent="0.25">
      <c r="A65" s="2" t="s">
        <v>88</v>
      </c>
      <c r="B65" s="2"/>
      <c r="C65" s="2"/>
    </row>
    <row r="66" ht="16" customHeight="1" spans="1:3" x14ac:dyDescent="0.25">
      <c r="A66" t="s">
        <v>89</v>
      </c>
      <c r="B66" s="3">
        <v>9.99</v>
      </c>
      <c r="C66" t="s">
        <v>9</v>
      </c>
    </row>
    <row r="67" ht="16" customHeight="1" spans="1:3" x14ac:dyDescent="0.25">
      <c r="A67" t="s">
        <v>90</v>
      </c>
      <c r="B67" s="3">
        <v>151</v>
      </c>
      <c r="C67" t="s">
        <v>91</v>
      </c>
    </row>
    <row r="68" ht="16" customHeight="1" spans="1:3" x14ac:dyDescent="0.25">
      <c r="A68" t="s">
        <v>92</v>
      </c>
      <c r="B68" s="3">
        <v>25</v>
      </c>
      <c r="C68" t="s">
        <v>7</v>
      </c>
    </row>
    <row r="69" ht="16" customHeight="1" spans="1:3" x14ac:dyDescent="0.25">
      <c r="A69" t="s">
        <v>93</v>
      </c>
      <c r="B69" s="3">
        <v>10</v>
      </c>
      <c r="C69" t="s">
        <v>7</v>
      </c>
    </row>
    <row r="70" ht="16" customHeight="1" spans="1:3" x14ac:dyDescent="0.25">
      <c r="A70" t="s">
        <v>94</v>
      </c>
      <c r="B70" s="3">
        <v>5000000</v>
      </c>
      <c r="C70" t="s">
        <v>31</v>
      </c>
    </row>
  </sheetData>
  <mergeCells count="9">
    <mergeCell ref="A2:C2"/>
    <mergeCell ref="A10:C10"/>
    <mergeCell ref="A22:C22"/>
    <mergeCell ref="A29:C29"/>
    <mergeCell ref="A35:C35"/>
    <mergeCell ref="A45:C45"/>
    <mergeCell ref="A54:C54"/>
    <mergeCell ref="A60:C60"/>
    <mergeCell ref="A65:C6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8" customWidth="1"/>
    <col min="2" max="12" width="17" customWidth="1"/>
  </cols>
  <sheetData>
    <row r="1" ht="24" customHeight="1" spans="1:12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</row>
    <row r="2" ht="18" customHeight="1" spans="1:12" x14ac:dyDescent="0.25">
      <c r="A2" s="4" t="s">
        <v>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8" customHeight="1" spans="1:12" x14ac:dyDescent="0.25">
      <c r="A3" s="5" t="s">
        <v>108</v>
      </c>
      <c r="B3" s="6">
        <v>0</v>
      </c>
      <c r="C3" s="6">
        <f>Parámetros!$B$9</f>
      </c>
      <c r="D3" s="6">
        <f>(Parámetros!$B$3-Parámetros!$B$9)/(Parámetros!$B$4-1)</f>
      </c>
      <c r="E3" s="6">
        <f>(Parámetros!$B$3-Parámetros!$B$9)/(Parámetros!$B$4-1)</f>
      </c>
      <c r="F3" s="6">
        <f>(Parámetros!$B$3-Parámetros!$B$9)/(Parámetros!$B$4-1)</f>
      </c>
      <c r="G3" s="6">
        <f>(Parámetros!$B$3-Parámetros!$B$9)/(Parámetros!$B$4-1)</f>
      </c>
      <c r="H3" s="6">
        <f>(Parámetros!$B$3-Parámetros!$B$9)/(Parámetros!$B$4-1)</f>
      </c>
      <c r="I3" s="6">
        <f>(Parámetros!$B$3-Parámetros!$B$9)/(Parámetros!$B$4-1)</f>
      </c>
      <c r="J3" s="6">
        <f>(Parámetros!$B$3-Parámetros!$B$9)/(Parámetros!$B$4-1)</f>
      </c>
      <c r="K3" s="6">
        <f>(Parámetros!$B$3-Parámetros!$B$9)/(Parámetros!$B$4-1)</f>
      </c>
      <c r="L3" s="6">
        <f>(Parámetros!$B$3-Parámetros!$B$9)/(Parámetros!$B$4-1)</f>
      </c>
    </row>
    <row r="4" ht="18" customHeight="1" spans="1:12" x14ac:dyDescent="0.25">
      <c r="A4" s="5" t="s">
        <v>109</v>
      </c>
      <c r="B4" s="6">
        <v>0</v>
      </c>
      <c r="C4" s="6">
        <f>SUM(B3:C3)</f>
      </c>
      <c r="D4" s="6">
        <f>SUM(B3:D3)</f>
      </c>
      <c r="E4" s="6">
        <f>SUM(B3:E3)</f>
      </c>
      <c r="F4" s="6">
        <f>SUM(B3:F3)</f>
      </c>
      <c r="G4" s="6">
        <f>SUM(B3:G3)</f>
      </c>
      <c r="H4" s="6">
        <f>SUM(B3:H3)</f>
      </c>
      <c r="I4" s="6">
        <f>SUM(B3:I3)</f>
      </c>
      <c r="J4" s="6">
        <f>SUM(B3:J3)</f>
      </c>
      <c r="K4" s="6">
        <f>SUM(B3:K3)</f>
      </c>
      <c r="L4" s="6">
        <f>SUM(B3:L3)</f>
      </c>
    </row>
    <row r="5" ht="18" customHeight="1" spans="1:12" x14ac:dyDescent="0.25">
      <c r="A5" s="5" t="s">
        <v>110</v>
      </c>
      <c r="B5" s="7">
        <v>0</v>
      </c>
      <c r="C5" s="7">
        <f>C4/Parámetros!$B$3</f>
      </c>
      <c r="D5" s="7">
        <f>D4/Parámetros!$B$3</f>
      </c>
      <c r="E5" s="7">
        <f>E4/Parámetros!$B$3</f>
      </c>
      <c r="F5" s="7">
        <f>F4/Parámetros!$B$3</f>
      </c>
      <c r="G5" s="7">
        <f>G4/Parámetros!$B$3</f>
      </c>
      <c r="H5" s="7">
        <f>H4/Parámetros!$B$3</f>
      </c>
      <c r="I5" s="7">
        <f>I4/Parámetros!$B$3</f>
      </c>
      <c r="J5" s="7">
        <f>J4/Parámetros!$B$3</f>
      </c>
      <c r="K5" s="7">
        <f>K4/Parámetros!$B$3</f>
      </c>
      <c r="L5" s="7">
        <f>L4/Parámetros!$B$3</f>
      </c>
    </row>
    <row r="6" ht="8" customHeight="1" x14ac:dyDescent="0.25"/>
    <row r="7" ht="18" customHeight="1" spans="1:12" x14ac:dyDescent="0.25">
      <c r="A7" s="8" t="s">
        <v>111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8" customHeight="1" spans="1:12" x14ac:dyDescent="0.25">
      <c r="A8" s="9" t="s">
        <v>112</v>
      </c>
      <c r="B8" s="10">
        <f>Parámetros!$B$25/100*Parámetros!$B$23+Parámetros!$B$24</f>
      </c>
      <c r="C8" s="10">
        <f>Parámetros!$B$26/100*Parámetros!$B$23</f>
      </c>
      <c r="D8" s="10">
        <f>Parámetros!$B$27/100*Parámetros!$B$23</f>
      </c>
      <c r="E8" s="10">
        <f>Parámetros!$B$28/100*Parámetros!$B$23</f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</row>
    <row r="9" ht="18" customHeight="1" spans="1:12" x14ac:dyDescent="0.25">
      <c r="A9" s="9" t="s">
        <v>113</v>
      </c>
      <c r="B9" s="10">
        <v>0</v>
      </c>
      <c r="C9" s="10">
        <f>C3*(((1-Parámetros!$B$8/100)*Parámetros!$B$11+(Parámetros!$B$8/100)*Parámetros!$B$12)+((Parámetros!$B$6/100)*Parámetros!$B$13+(Parámetros!$B$7/100)*Parámetros!$B$14+((100-Parámetros!$B$6-Parámetros!$B$7)/100)*Parámetros!$B$15))</f>
      </c>
      <c r="D9" s="10">
        <f>D3*(((1-Parámetros!$B$8/100)*Parámetros!$B$11+(Parámetros!$B$8/100)*Parámetros!$B$12)+((Parámetros!$B$6/100)*Parámetros!$B$13+(Parámetros!$B$7/100)*Parámetros!$B$14+((100-Parámetros!$B$6-Parámetros!$B$7)/100)*Parámetros!$B$15))</f>
      </c>
      <c r="E9" s="10">
        <f>E3*(((1-Parámetros!$B$8/100)*Parámetros!$B$11+(Parámetros!$B$8/100)*Parámetros!$B$12)+((Parámetros!$B$6/100)*Parámetros!$B$13+(Parámetros!$B$7/100)*Parámetros!$B$14+((100-Parámetros!$B$6-Parámetros!$B$7)/100)*Parámetros!$B$15))</f>
      </c>
      <c r="F9" s="10">
        <f>F3*(((1-Parámetros!$B$8/100)*Parámetros!$B$11+(Parámetros!$B$8/100)*Parámetros!$B$12)+((Parámetros!$B$6/100)*Parámetros!$B$13+(Parámetros!$B$7/100)*Parámetros!$B$14+((100-Parámetros!$B$6-Parámetros!$B$7)/100)*Parámetros!$B$15))</f>
      </c>
      <c r="G9" s="10">
        <f>G3*(((1-Parámetros!$B$8/100)*Parámetros!$B$11+(Parámetros!$B$8/100)*Parámetros!$B$12)+((Parámetros!$B$6/100)*Parámetros!$B$13+(Parámetros!$B$7/100)*Parámetros!$B$14+((100-Parámetros!$B$6-Parámetros!$B$7)/100)*Parámetros!$B$15))</f>
      </c>
      <c r="H9" s="10">
        <f>H3*(((1-Parámetros!$B$8/100)*Parámetros!$B$11+(Parámetros!$B$8/100)*Parámetros!$B$12)+((Parámetros!$B$6/100)*Parámetros!$B$13+(Parámetros!$B$7/100)*Parámetros!$B$14+((100-Parámetros!$B$6-Parámetros!$B$7)/100)*Parámetros!$B$15))</f>
      </c>
      <c r="I9" s="10">
        <f>I3*(((1-Parámetros!$B$8/100)*Parámetros!$B$11+(Parámetros!$B$8/100)*Parámetros!$B$12)+((Parámetros!$B$6/100)*Parámetros!$B$13+(Parámetros!$B$7/100)*Parámetros!$B$14+((100-Parámetros!$B$6-Parámetros!$B$7)/100)*Parámetros!$B$15))</f>
      </c>
      <c r="J9" s="10">
        <f>J3*(((1-Parámetros!$B$8/100)*Parámetros!$B$11+(Parámetros!$B$8/100)*Parámetros!$B$12)+((Parámetros!$B$6/100)*Parámetros!$B$13+(Parámetros!$B$7/100)*Parámetros!$B$14+((100-Parámetros!$B$6-Parámetros!$B$7)/100)*Parámetros!$B$15))</f>
      </c>
      <c r="K9" s="10">
        <f>K3*(((1-Parámetros!$B$8/100)*Parámetros!$B$11+(Parámetros!$B$8/100)*Parámetros!$B$12)+((Parámetros!$B$6/100)*Parámetros!$B$13+(Parámetros!$B$7/100)*Parámetros!$B$14+((100-Parámetros!$B$6-Parámetros!$B$7)/100)*Parámetros!$B$15))</f>
      </c>
      <c r="L9" s="10">
        <f>L3*(((1-Parámetros!$B$8/100)*Parámetros!$B$11+(Parámetros!$B$8/100)*Parámetros!$B$12)+((Parámetros!$B$6/100)*Parámetros!$B$13+(Parámetros!$B$7/100)*Parámetros!$B$14+((100-Parámetros!$B$6-Parámetros!$B$7)/100)*Parámetros!$B$15))</f>
      </c>
    </row>
    <row r="10" ht="18" customHeight="1" spans="1:12" x14ac:dyDescent="0.25">
      <c r="A10" s="9" t="s">
        <v>114</v>
      </c>
      <c r="B10" s="10">
        <v>0</v>
      </c>
      <c r="C10" s="10">
        <f>C3*(Parámetros!$B$16+Parámetros!$B$17)</f>
      </c>
      <c r="D10" s="10">
        <f>D3*(Parámetros!$B$16+Parámetros!$B$17)</f>
      </c>
      <c r="E10" s="10">
        <f>E3*(Parámetros!$B$16+Parámetros!$B$17)</f>
      </c>
      <c r="F10" s="10">
        <f>F3*(Parámetros!$B$16+Parámetros!$B$17)</f>
      </c>
      <c r="G10" s="10">
        <f>G3*(Parámetros!$B$16+Parámetros!$B$17)</f>
      </c>
      <c r="H10" s="10">
        <f>H3*(Parámetros!$B$16+Parámetros!$B$17)</f>
      </c>
      <c r="I10" s="10">
        <f>I3*(Parámetros!$B$16+Parámetros!$B$17)</f>
      </c>
      <c r="J10" s="10">
        <f>J3*(Parámetros!$B$16+Parámetros!$B$17)</f>
      </c>
      <c r="K10" s="10">
        <f>K3*(Parámetros!$B$16+Parámetros!$B$17)</f>
      </c>
      <c r="L10" s="10">
        <f>L3*(Parámetros!$B$16+Parámetros!$B$17)</f>
      </c>
    </row>
    <row r="11" ht="18" customHeight="1" spans="1:12" x14ac:dyDescent="0.25">
      <c r="A11" s="9" t="s">
        <v>115</v>
      </c>
      <c r="B11" s="10">
        <v>0</v>
      </c>
      <c r="C11" s="10">
        <f>(C3*Parámetros!$B$7/100)/Parámetros!$B$20*Parámetros!$B$18+(C3*Parámetros!$B$6/100)/Parámetros!$B$21*Parámetros!$B$19</f>
      </c>
      <c r="D11" s="10">
        <f>(D3*Parámetros!$B$7/100)/Parámetros!$B$20*Parámetros!$B$18+(D3*Parámetros!$B$6/100)/Parámetros!$B$21*Parámetros!$B$19</f>
      </c>
      <c r="E11" s="10">
        <f>(E3*Parámetros!$B$7/100)/Parámetros!$B$20*Parámetros!$B$18+(E3*Parámetros!$B$6/100)/Parámetros!$B$21*Parámetros!$B$19</f>
      </c>
      <c r="F11" s="10">
        <f>(F3*Parámetros!$B$7/100)/Parámetros!$B$20*Parámetros!$B$18+(F3*Parámetros!$B$6/100)/Parámetros!$B$21*Parámetros!$B$19</f>
      </c>
      <c r="G11" s="10">
        <f>(G3*Parámetros!$B$7/100)/Parámetros!$B$20*Parámetros!$B$18+(G3*Parámetros!$B$6/100)/Parámetros!$B$21*Parámetros!$B$19</f>
      </c>
      <c r="H11" s="10">
        <f>(H3*Parámetros!$B$7/100)/Parámetros!$B$20*Parámetros!$B$18+(H3*Parámetros!$B$6/100)/Parámetros!$B$21*Parámetros!$B$19</f>
      </c>
      <c r="I11" s="10">
        <f>(I3*Parámetros!$B$7/100)/Parámetros!$B$20*Parámetros!$B$18+(I3*Parámetros!$B$6/100)/Parámetros!$B$21*Parámetros!$B$19</f>
      </c>
      <c r="J11" s="10">
        <f>(J3*Parámetros!$B$7/100)/Parámetros!$B$20*Parámetros!$B$18+(J3*Parámetros!$B$6/100)/Parámetros!$B$21*Parámetros!$B$19</f>
      </c>
      <c r="K11" s="10">
        <f>(K3*Parámetros!$B$7/100)/Parámetros!$B$20*Parámetros!$B$18+(K3*Parámetros!$B$6/100)/Parámetros!$B$21*Parámetros!$B$19</f>
      </c>
      <c r="L11" s="10">
        <f>(L3*Parámetros!$B$7/100)/Parámetros!$B$20*Parámetros!$B$18+(L3*Parámetros!$B$6/100)/Parámetros!$B$21*Parámetros!$B$19</f>
      </c>
    </row>
    <row r="12" ht="18" customHeight="1" spans="1:12" x14ac:dyDescent="0.25">
      <c r="A12" s="11" t="s">
        <v>116</v>
      </c>
      <c r="B12" s="10">
        <f>B8+B9+B10+B11</f>
      </c>
      <c r="C12" s="10">
        <f>C8+C9+C10+C11</f>
      </c>
      <c r="D12" s="10">
        <f>D8+D9+D10+D11</f>
      </c>
      <c r="E12" s="10">
        <f>E8+E9+E10+E11</f>
      </c>
      <c r="F12" s="10">
        <f>F8+F9+F10+F11</f>
      </c>
      <c r="G12" s="10">
        <f>G8+G9+G10+G11</f>
      </c>
      <c r="H12" s="10">
        <f>H8+H9+H10+H11</f>
      </c>
      <c r="I12" s="10">
        <f>I8+I9+I10+I11</f>
      </c>
      <c r="J12" s="10">
        <f>J8+J9+J10+J11</f>
      </c>
      <c r="K12" s="10">
        <f>K8+K9+K10+K11</f>
      </c>
      <c r="L12" s="10">
        <f>L8+L9+L10+L11</f>
      </c>
    </row>
    <row r="13" ht="8" customHeight="1" x14ac:dyDescent="0.25"/>
    <row r="14" ht="18" customHeight="1" spans="1:12" x14ac:dyDescent="0.25">
      <c r="A14" s="12" t="s">
        <v>117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ht="18" customHeight="1" spans="1:12" x14ac:dyDescent="0.25">
      <c r="A15" s="13" t="s">
        <v>118</v>
      </c>
      <c r="B15" s="14">
        <v>0</v>
      </c>
      <c r="C15" s="14">
        <f>Parámetros!$B$30</f>
      </c>
      <c r="D15" s="14">
        <f>Parámetros!$B$30</f>
      </c>
      <c r="E15" s="14">
        <f>Parámetros!$B$30</f>
      </c>
      <c r="F15" s="14">
        <f>Parámetros!$B$30</f>
      </c>
      <c r="G15" s="14">
        <f>Parámetros!$B$30</f>
      </c>
      <c r="H15" s="14">
        <f>Parámetros!$B$30</f>
      </c>
      <c r="I15" s="14">
        <f>Parámetros!$B$30</f>
      </c>
      <c r="J15" s="14">
        <f>Parámetros!$B$30</f>
      </c>
      <c r="K15" s="14">
        <f>Parámetros!$B$30</f>
      </c>
      <c r="L15" s="14">
        <f>Parámetros!$B$30</f>
      </c>
    </row>
    <row r="16" ht="18" customHeight="1" spans="1:12" x14ac:dyDescent="0.25">
      <c r="A16" s="13" t="s">
        <v>119</v>
      </c>
      <c r="B16" s="14">
        <v>0</v>
      </c>
      <c r="C16" s="14">
        <f>Parámetros!$B$31</f>
      </c>
      <c r="D16" s="14">
        <f>Parámetros!$B$31</f>
      </c>
      <c r="E16" s="14">
        <f>Parámetros!$B$31</f>
      </c>
      <c r="F16" s="14">
        <f>Parámetros!$B$31</f>
      </c>
      <c r="G16" s="14">
        <f>Parámetros!$B$31</f>
      </c>
      <c r="H16" s="14">
        <f>Parámetros!$B$31</f>
      </c>
      <c r="I16" s="14">
        <f>Parámetros!$B$31</f>
      </c>
      <c r="J16" s="14">
        <f>Parámetros!$B$31</f>
      </c>
      <c r="K16" s="14">
        <f>Parámetros!$B$31</f>
      </c>
      <c r="L16" s="14">
        <f>Parámetros!$B$31</f>
      </c>
    </row>
    <row r="17" ht="18" customHeight="1" spans="1:12" x14ac:dyDescent="0.25">
      <c r="A17" s="13" t="s">
        <v>120</v>
      </c>
      <c r="B17" s="14">
        <v>0</v>
      </c>
      <c r="C17" s="14">
        <f>Parámetros!$B$32</f>
      </c>
      <c r="D17" s="14">
        <f>Parámetros!$B$32</f>
      </c>
      <c r="E17" s="14">
        <f>Parámetros!$B$32</f>
      </c>
      <c r="F17" s="14">
        <f>Parámetros!$B$32</f>
      </c>
      <c r="G17" s="14">
        <f>Parámetros!$B$32</f>
      </c>
      <c r="H17" s="14">
        <f>Parámetros!$B$32</f>
      </c>
      <c r="I17" s="14">
        <f>Parámetros!$B$32</f>
      </c>
      <c r="J17" s="14">
        <f>Parámetros!$B$32</f>
      </c>
      <c r="K17" s="14">
        <f>Parámetros!$B$32</f>
      </c>
      <c r="L17" s="14">
        <f>Parámetros!$B$32</f>
      </c>
    </row>
    <row r="18" ht="18" customHeight="1" spans="1:12" x14ac:dyDescent="0.25">
      <c r="A18" s="13" t="s">
        <v>121</v>
      </c>
      <c r="B18" s="14">
        <v>0</v>
      </c>
      <c r="C18" s="14">
        <f>C4*((100-Parámetros!$B$6-Parámetros!$B$7)/100)*Parámetros!$B$33*12</f>
      </c>
      <c r="D18" s="14">
        <f>D4*((100-Parámetros!$B$6-Parámetros!$B$7)/100)*Parámetros!$B$33*12</f>
      </c>
      <c r="E18" s="14">
        <f>E4*((100-Parámetros!$B$6-Parámetros!$B$7)/100)*Parámetros!$B$33*12</f>
      </c>
      <c r="F18" s="14">
        <f>F4*((100-Parámetros!$B$6-Parámetros!$B$7)/100)*Parámetros!$B$33*12</f>
      </c>
      <c r="G18" s="14">
        <f>G4*((100-Parámetros!$B$6-Parámetros!$B$7)/100)*Parámetros!$B$33*12</f>
      </c>
      <c r="H18" s="14">
        <f>H4*((100-Parámetros!$B$6-Parámetros!$B$7)/100)*Parámetros!$B$33*12</f>
      </c>
      <c r="I18" s="14">
        <f>I4*((100-Parámetros!$B$6-Parámetros!$B$7)/100)*Parámetros!$B$33*12</f>
      </c>
      <c r="J18" s="14">
        <f>J4*((100-Parámetros!$B$6-Parámetros!$B$7)/100)*Parámetros!$B$33*12</f>
      </c>
      <c r="K18" s="14">
        <f>K4*((100-Parámetros!$B$6-Parámetros!$B$7)/100)*Parámetros!$B$33*12</f>
      </c>
      <c r="L18" s="14">
        <f>L4*((100-Parámetros!$B$6-Parámetros!$B$7)/100)*Parámetros!$B$33*12</f>
      </c>
    </row>
    <row r="19" ht="18" customHeight="1" spans="1:12" x14ac:dyDescent="0.25">
      <c r="A19" s="13" t="s">
        <v>122</v>
      </c>
      <c r="B19" s="14">
        <v>0</v>
      </c>
      <c r="C19" s="14">
        <f>Parámetros!$B$34*12</f>
      </c>
      <c r="D19" s="14">
        <f>Parámetros!$B$34*12</f>
      </c>
      <c r="E19" s="14">
        <f>Parámetros!$B$34*12</f>
      </c>
      <c r="F19" s="14">
        <f>Parámetros!$B$34*12</f>
      </c>
      <c r="G19" s="14">
        <f>Parámetros!$B$34*12</f>
      </c>
      <c r="H19" s="14">
        <f>Parámetros!$B$34*12</f>
      </c>
      <c r="I19" s="14">
        <f>Parámetros!$B$34*12</f>
      </c>
      <c r="J19" s="14">
        <f>Parámetros!$B$34*12</f>
      </c>
      <c r="K19" s="14">
        <f>Parámetros!$B$34*12</f>
      </c>
      <c r="L19" s="14">
        <f>Parámetros!$B$34*12</f>
      </c>
    </row>
    <row r="20" ht="18" customHeight="1" spans="1:12" x14ac:dyDescent="0.25">
      <c r="A20" s="15" t="s">
        <v>123</v>
      </c>
      <c r="B20" s="14">
        <f>B15+B16+B17+B18+B19</f>
      </c>
      <c r="C20" s="14">
        <f>C15+C16+C17+C18+C19</f>
      </c>
      <c r="D20" s="14">
        <f>D15+D16+D17+D18+D19</f>
      </c>
      <c r="E20" s="14">
        <f>E15+E16+E17+E18+E19</f>
      </c>
      <c r="F20" s="14">
        <f>F15+F16+F17+F18+F19</f>
      </c>
      <c r="G20" s="14">
        <f>G15+G16+G17+G18+G19</f>
      </c>
      <c r="H20" s="14">
        <f>H15+H16+H17+H18+H19</f>
      </c>
      <c r="I20" s="14">
        <f>I15+I16+I17+I18+I19</f>
      </c>
      <c r="J20" s="14">
        <f>J15+J16+J17+J18+J19</f>
      </c>
      <c r="K20" s="14">
        <f>K15+K16+K17+K18+K19</f>
      </c>
      <c r="L20" s="14">
        <f>L15+L16+L17+L18+L19</f>
      </c>
    </row>
    <row r="21" ht="8" customHeight="1" x14ac:dyDescent="0.25"/>
    <row r="22" ht="18" customHeight="1" spans="1:12" x14ac:dyDescent="0.25">
      <c r="A22" s="16" t="s">
        <v>124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ht="18" customHeight="1" spans="1:12" x14ac:dyDescent="0.25">
      <c r="A23" s="17" t="s">
        <v>125</v>
      </c>
      <c r="B23" s="18">
        <v>0</v>
      </c>
      <c r="C23" s="18">
        <f>Parámetros!$B$36*Parámetros!$B$37*C5</f>
      </c>
      <c r="D23" s="18">
        <f>Parámetros!$B$36*Parámetros!$B$37*D5</f>
      </c>
      <c r="E23" s="18">
        <f>Parámetros!$B$36*Parámetros!$B$37*E5</f>
      </c>
      <c r="F23" s="18">
        <f>Parámetros!$B$36*Parámetros!$B$37*F5</f>
      </c>
      <c r="G23" s="18">
        <f>Parámetros!$B$36*Parámetros!$B$37*G5</f>
      </c>
      <c r="H23" s="18">
        <f>Parámetros!$B$36*Parámetros!$B$37*H5</f>
      </c>
      <c r="I23" s="18">
        <f>Parámetros!$B$36*Parámetros!$B$37*I5</f>
      </c>
      <c r="J23" s="18">
        <f>Parámetros!$B$36*Parámetros!$B$37*J5</f>
      </c>
      <c r="K23" s="18">
        <f>Parámetros!$B$36*Parámetros!$B$37*K5</f>
      </c>
      <c r="L23" s="18">
        <f>Parámetros!$B$36*Parámetros!$B$37*L5</f>
      </c>
    </row>
    <row r="24" ht="18" customHeight="1" spans="1:12" x14ac:dyDescent="0.25">
      <c r="A24" s="17" t="s">
        <v>126</v>
      </c>
      <c r="B24" s="18">
        <v>0</v>
      </c>
      <c r="C24" s="18">
        <f>(Parámetros!$B$38+Parámetros!$B$39)*Parámetros!$B$40*C5</f>
      </c>
      <c r="D24" s="18">
        <f>(Parámetros!$B$38+Parámetros!$B$39)*Parámetros!$B$40*D5</f>
      </c>
      <c r="E24" s="18">
        <f>(Parámetros!$B$38+Parámetros!$B$39)*Parámetros!$B$40*E5</f>
      </c>
      <c r="F24" s="18">
        <f>(Parámetros!$B$38+Parámetros!$B$39)*Parámetros!$B$40*F5</f>
      </c>
      <c r="G24" s="18">
        <f>(Parámetros!$B$38+Parámetros!$B$39)*Parámetros!$B$40*G5</f>
      </c>
      <c r="H24" s="18">
        <f>(Parámetros!$B$38+Parámetros!$B$39)*Parámetros!$B$40*H5</f>
      </c>
      <c r="I24" s="18">
        <f>(Parámetros!$B$38+Parámetros!$B$39)*Parámetros!$B$40*I5</f>
      </c>
      <c r="J24" s="18">
        <f>(Parámetros!$B$38+Parámetros!$B$39)*Parámetros!$B$40*J5</f>
      </c>
      <c r="K24" s="18">
        <f>(Parámetros!$B$38+Parámetros!$B$39)*Parámetros!$B$40*K5</f>
      </c>
      <c r="L24" s="18">
        <f>(Parámetros!$B$38+Parámetros!$B$39)*Parámetros!$B$40*L5</f>
      </c>
    </row>
    <row r="25" ht="18" customHeight="1" spans="1:12" x14ac:dyDescent="0.25">
      <c r="A25" s="17" t="s">
        <v>127</v>
      </c>
      <c r="B25" s="18">
        <v>0</v>
      </c>
      <c r="C25" s="18">
        <f>(Parámetros!$B$41+Parámetros!$B$42+Parámetros!$B$43)*Parámetros!$B$44*C5</f>
      </c>
      <c r="D25" s="18">
        <f>(Parámetros!$B$41+Parámetros!$B$42+Parámetros!$B$43)*Parámetros!$B$44*D5</f>
      </c>
      <c r="E25" s="18">
        <f>(Parámetros!$B$41+Parámetros!$B$42+Parámetros!$B$43)*Parámetros!$B$44*E5</f>
      </c>
      <c r="F25" s="18">
        <f>(Parámetros!$B$41+Parámetros!$B$42+Parámetros!$B$43)*Parámetros!$B$44*F5</f>
      </c>
      <c r="G25" s="18">
        <f>(Parámetros!$B$41+Parámetros!$B$42+Parámetros!$B$43)*Parámetros!$B$44*G5</f>
      </c>
      <c r="H25" s="18">
        <f>(Parámetros!$B$41+Parámetros!$B$42+Parámetros!$B$43)*Parámetros!$B$44*H5</f>
      </c>
      <c r="I25" s="18">
        <f>(Parámetros!$B$41+Parámetros!$B$42+Parámetros!$B$43)*Parámetros!$B$44*I5</f>
      </c>
      <c r="J25" s="18">
        <f>(Parámetros!$B$41+Parámetros!$B$42+Parámetros!$B$43)*Parámetros!$B$44*J5</f>
      </c>
      <c r="K25" s="18">
        <f>(Parámetros!$B$41+Parámetros!$B$42+Parámetros!$B$43)*Parámetros!$B$44*K5</f>
      </c>
      <c r="L25" s="18">
        <f>(Parámetros!$B$41+Parámetros!$B$42+Parámetros!$B$43)*Parámetros!$B$44*L5</f>
      </c>
    </row>
    <row r="26" ht="18" customHeight="1" spans="1:12" x14ac:dyDescent="0.25">
      <c r="A26" s="17" t="s">
        <v>128</v>
      </c>
      <c r="B26" s="18">
        <v>0</v>
      </c>
      <c r="C26" s="18">
        <f>Parámetros!$B$46*(Parámetros!$B$47/100)*Parámetros!$B$48*C5</f>
      </c>
      <c r="D26" s="18">
        <f>Parámetros!$B$46*(Parámetros!$B$47/100)*Parámetros!$B$48*D5</f>
      </c>
      <c r="E26" s="18">
        <f>Parámetros!$B$46*(Parámetros!$B$47/100)*Parámetros!$B$48*E5</f>
      </c>
      <c r="F26" s="18">
        <f>Parámetros!$B$46*(Parámetros!$B$47/100)*Parámetros!$B$48*F5</f>
      </c>
      <c r="G26" s="18">
        <f>Parámetros!$B$46*(Parámetros!$B$47/100)*Parámetros!$B$48*G5</f>
      </c>
      <c r="H26" s="18">
        <f>Parámetros!$B$46*(Parámetros!$B$47/100)*Parámetros!$B$48*H5</f>
      </c>
      <c r="I26" s="18">
        <f>Parámetros!$B$46*(Parámetros!$B$47/100)*Parámetros!$B$48*I5</f>
      </c>
      <c r="J26" s="18">
        <f>Parámetros!$B$46*(Parámetros!$B$47/100)*Parámetros!$B$48*J5</f>
      </c>
      <c r="K26" s="18">
        <f>Parámetros!$B$46*(Parámetros!$B$47/100)*Parámetros!$B$48*K5</f>
      </c>
      <c r="L26" s="18">
        <f>Parámetros!$B$46*(Parámetros!$B$47/100)*Parámetros!$B$48*L5</f>
      </c>
    </row>
    <row r="27" ht="18" customHeight="1" spans="1:12" x14ac:dyDescent="0.25">
      <c r="A27" s="17" t="s">
        <v>129</v>
      </c>
      <c r="B27" s="18">
        <v>0</v>
      </c>
      <c r="C27" s="18">
        <f>Parámetros!$B$49*C5</f>
      </c>
      <c r="D27" s="18">
        <f>Parámetros!$B$49*D5</f>
      </c>
      <c r="E27" s="18">
        <f>Parámetros!$B$49*E5</f>
      </c>
      <c r="F27" s="18">
        <f>Parámetros!$B$49*F5</f>
      </c>
      <c r="G27" s="18">
        <f>Parámetros!$B$49*G5</f>
      </c>
      <c r="H27" s="18">
        <f>Parámetros!$B$49*H5</f>
      </c>
      <c r="I27" s="18">
        <f>Parámetros!$B$49*I5</f>
      </c>
      <c r="J27" s="18">
        <f>Parámetros!$B$49*J5</f>
      </c>
      <c r="K27" s="18">
        <f>Parámetros!$B$49*K5</f>
      </c>
      <c r="L27" s="18">
        <f>Parámetros!$B$49*L5</f>
      </c>
    </row>
    <row r="28" ht="18" customHeight="1" spans="1:12" x14ac:dyDescent="0.25">
      <c r="A28" s="17" t="s">
        <v>130</v>
      </c>
      <c r="B28" s="18">
        <v>0</v>
      </c>
      <c r="C28" s="18">
        <f>Parámetros!$B$50*(Parámetros!$B$51/100)*C5</f>
      </c>
      <c r="D28" s="18">
        <f>Parámetros!$B$50*(Parámetros!$B$51/100)*D5</f>
      </c>
      <c r="E28" s="18">
        <f>Parámetros!$B$50*(Parámetros!$B$51/100)*E5</f>
      </c>
      <c r="F28" s="18">
        <f>Parámetros!$B$50*(Parámetros!$B$51/100)*F5</f>
      </c>
      <c r="G28" s="18">
        <f>Parámetros!$B$50*(Parámetros!$B$51/100)*G5</f>
      </c>
      <c r="H28" s="18">
        <f>Parámetros!$B$50*(Parámetros!$B$51/100)*H5</f>
      </c>
      <c r="I28" s="18">
        <f>Parámetros!$B$50*(Parámetros!$B$51/100)*I5</f>
      </c>
      <c r="J28" s="18">
        <f>Parámetros!$B$50*(Parámetros!$B$51/100)*J5</f>
      </c>
      <c r="K28" s="18">
        <f>Parámetros!$B$50*(Parámetros!$B$51/100)*K5</f>
      </c>
      <c r="L28" s="18">
        <f>Parámetros!$B$50*(Parámetros!$B$51/100)*L5</f>
      </c>
    </row>
    <row r="29" ht="18" customHeight="1" spans="1:12" x14ac:dyDescent="0.25">
      <c r="A29" s="17" t="s">
        <v>131</v>
      </c>
      <c r="B29" s="18">
        <v>0</v>
      </c>
      <c r="C29" s="18">
        <f>Parámetros!$B$52*(Parámetros!$B$53/100)*C5</f>
      </c>
      <c r="D29" s="18">
        <f>Parámetros!$B$52*(Parámetros!$B$53/100)*D5</f>
      </c>
      <c r="E29" s="18">
        <f>Parámetros!$B$52*(Parámetros!$B$53/100)*E5</f>
      </c>
      <c r="F29" s="18">
        <f>Parámetros!$B$52*(Parámetros!$B$53/100)*F5</f>
      </c>
      <c r="G29" s="18">
        <f>Parámetros!$B$52*(Parámetros!$B$53/100)*G5</f>
      </c>
      <c r="H29" s="18">
        <f>Parámetros!$B$52*(Parámetros!$B$53/100)*H5</f>
      </c>
      <c r="I29" s="18">
        <f>Parámetros!$B$52*(Parámetros!$B$53/100)*I5</f>
      </c>
      <c r="J29" s="18">
        <f>Parámetros!$B$52*(Parámetros!$B$53/100)*J5</f>
      </c>
      <c r="K29" s="18">
        <f>Parámetros!$B$52*(Parámetros!$B$53/100)*K5</f>
      </c>
      <c r="L29" s="18">
        <f>Parámetros!$B$52*(Parámetros!$B$53/100)*L5</f>
      </c>
    </row>
    <row r="30" ht="18" customHeight="1" spans="1:12" x14ac:dyDescent="0.25">
      <c r="A30" s="17" t="s">
        <v>132</v>
      </c>
      <c r="B30" s="18">
        <v>0</v>
      </c>
      <c r="C30" s="18">
        <f>(Parámetros!$B$55+Parámetros!$B$56)*Parámetros!$B$57*C5</f>
      </c>
      <c r="D30" s="18">
        <f>(Parámetros!$B$55+Parámetros!$B$56)*Parámetros!$B$57*D5</f>
      </c>
      <c r="E30" s="18">
        <f>(Parámetros!$B$55+Parámetros!$B$56)*Parámetros!$B$57*E5</f>
      </c>
      <c r="F30" s="18">
        <f>(Parámetros!$B$55+Parámetros!$B$56)*Parámetros!$B$57*F5</f>
      </c>
      <c r="G30" s="18">
        <f>(Parámetros!$B$55+Parámetros!$B$56)*Parámetros!$B$57*G5</f>
      </c>
      <c r="H30" s="18">
        <f>(Parámetros!$B$55+Parámetros!$B$56)*Parámetros!$B$57*H5</f>
      </c>
      <c r="I30" s="18">
        <f>(Parámetros!$B$55+Parámetros!$B$56)*Parámetros!$B$57*I5</f>
      </c>
      <c r="J30" s="18">
        <f>(Parámetros!$B$55+Parámetros!$B$56)*Parámetros!$B$57*J5</f>
      </c>
      <c r="K30" s="18">
        <f>(Parámetros!$B$55+Parámetros!$B$56)*Parámetros!$B$57*K5</f>
      </c>
      <c r="L30" s="18">
        <f>(Parámetros!$B$55+Parámetros!$B$56)*Parámetros!$B$57*L5</f>
      </c>
    </row>
    <row r="31" ht="18" customHeight="1" spans="1:12" x14ac:dyDescent="0.25">
      <c r="A31" s="17" t="s">
        <v>133</v>
      </c>
      <c r="B31" s="18">
        <v>0</v>
      </c>
      <c r="C31" s="18">
        <f>Parámetros!$B$58*(Parámetros!$B$59/100)*C5</f>
      </c>
      <c r="D31" s="18">
        <f>Parámetros!$B$58*(Parámetros!$B$59/100)*D5</f>
      </c>
      <c r="E31" s="18">
        <f>Parámetros!$B$58*(Parámetros!$B$59/100)*E5</f>
      </c>
      <c r="F31" s="18">
        <f>Parámetros!$B$58*(Parámetros!$B$59/100)*F5</f>
      </c>
      <c r="G31" s="18">
        <f>Parámetros!$B$58*(Parámetros!$B$59/100)*G5</f>
      </c>
      <c r="H31" s="18">
        <f>Parámetros!$B$58*(Parámetros!$B$59/100)*H5</f>
      </c>
      <c r="I31" s="18">
        <f>Parámetros!$B$58*(Parámetros!$B$59/100)*I5</f>
      </c>
      <c r="J31" s="18">
        <f>Parámetros!$B$58*(Parámetros!$B$59/100)*J5</f>
      </c>
      <c r="K31" s="18">
        <f>Parámetros!$B$58*(Parámetros!$B$59/100)*K5</f>
      </c>
      <c r="L31" s="18">
        <f>Parámetros!$B$58*(Parámetros!$B$59/100)*L5</f>
      </c>
    </row>
    <row r="32" ht="18" customHeight="1" spans="1:12" x14ac:dyDescent="0.25">
      <c r="A32" s="17" t="s">
        <v>134</v>
      </c>
      <c r="B32" s="18">
        <v>0</v>
      </c>
      <c r="C32" s="18">
        <f>Parámetros!$B$61*(Parámetros!$B$62/100)*MAX(0,Parámetros!$B$64-Parámetros!$B$63)*C5</f>
      </c>
      <c r="D32" s="18">
        <f>Parámetros!$B$61*(Parámetros!$B$62/100)*MAX(0,Parámetros!$B$64-Parámetros!$B$63)*D5</f>
      </c>
      <c r="E32" s="18">
        <f>Parámetros!$B$61*(Parámetros!$B$62/100)*MAX(0,Parámetros!$B$64-Parámetros!$B$63)*E5</f>
      </c>
      <c r="F32" s="18">
        <f>Parámetros!$B$61*(Parámetros!$B$62/100)*MAX(0,Parámetros!$B$64-Parámetros!$B$63)*F5</f>
      </c>
      <c r="G32" s="18">
        <f>Parámetros!$B$61*(Parámetros!$B$62/100)*MAX(0,Parámetros!$B$64-Parámetros!$B$63)*G5</f>
      </c>
      <c r="H32" s="18">
        <f>Parámetros!$B$61*(Parámetros!$B$62/100)*MAX(0,Parámetros!$B$64-Parámetros!$B$63)*H5</f>
      </c>
      <c r="I32" s="18">
        <f>Parámetros!$B$61*(Parámetros!$B$62/100)*MAX(0,Parámetros!$B$64-Parámetros!$B$63)*I5</f>
      </c>
      <c r="J32" s="18">
        <f>Parámetros!$B$61*(Parámetros!$B$62/100)*MAX(0,Parámetros!$B$64-Parámetros!$B$63)*J5</f>
      </c>
      <c r="K32" s="18">
        <f>Parámetros!$B$61*(Parámetros!$B$62/100)*MAX(0,Parámetros!$B$64-Parámetros!$B$63)*K5</f>
      </c>
      <c r="L32" s="18">
        <f>Parámetros!$B$61*(Parámetros!$B$62/100)*MAX(0,Parámetros!$B$64-Parámetros!$B$63)*L5</f>
      </c>
    </row>
    <row r="33" ht="18" customHeight="1" spans="1:12" x14ac:dyDescent="0.25">
      <c r="A33" s="19" t="s">
        <v>135</v>
      </c>
      <c r="B33" s="18">
        <f>B23+B24+B25+B26+B27+B28+B29+B30+B31+B32</f>
      </c>
      <c r="C33" s="18">
        <f>C23+C24+C25+C26+C27+C28+C29+C30+C31+C32</f>
      </c>
      <c r="D33" s="18">
        <f>D23+D24+D25+D26+D27+D28+D29+D30+D31+D32</f>
      </c>
      <c r="E33" s="18">
        <f>E23+E24+E25+E26+E27+E28+E29+E30+E31+E32</f>
      </c>
      <c r="F33" s="18">
        <f>F23+F24+F25+F26+F27+F28+F29+F30+F31+F32</f>
      </c>
      <c r="G33" s="18">
        <f>G23+G24+G25+G26+G27+G28+G29+G30+G31+G32</f>
      </c>
      <c r="H33" s="18">
        <f>H23+H24+H25+H26+H27+H28+H29+H30+H31+H32</f>
      </c>
      <c r="I33" s="18">
        <f>I23+I24+I25+I26+I27+I28+I29+I30+I31+I32</f>
      </c>
      <c r="J33" s="18">
        <f>J23+J24+J25+J26+J27+J28+J29+J30+J31+J32</f>
      </c>
      <c r="K33" s="18">
        <f>K23+K24+K25+K26+K27+K28+K29+K30+K31+K32</f>
      </c>
      <c r="L33" s="18">
        <f>L23+L24+L25+L26+L27+L28+L29+L30+L31+L32</f>
      </c>
    </row>
    <row r="34" ht="8" customHeight="1" x14ac:dyDescent="0.25"/>
    <row r="35" ht="18" customHeight="1" spans="1:12" x14ac:dyDescent="0.25">
      <c r="A35" s="20" t="s">
        <v>136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ht="18" customHeight="1" spans="1:12" x14ac:dyDescent="0.25">
      <c r="A36" s="21" t="s">
        <v>137</v>
      </c>
      <c r="B36" s="22">
        <f>(MAX(0,Parámetros!$B$25/100*Parámetros!$B$23-Parámetros!$B$70)/Parámetros!$B$69+(MAX(0,Parámetros!$B$25/100*Parámetros!$B$23-Parámetros!$B$70)-MAX(0,Parámetros!$B$25/100*Parámetros!$B$23-Parámetros!$B$70)*0/Parámetros!$B$69)*Parámetros!$B$66/100)</f>
      </c>
      <c r="C36" s="22">
        <f>(MAX(0,Parámetros!$B$25/100*Parámetros!$B$23-Parámetros!$B$70)/Parámetros!$B$69+(MAX(0,Parámetros!$B$25/100*Parámetros!$B$23-Parámetros!$B$70)-MAX(0,Parámetros!$B$25/100*Parámetros!$B$23-Parámetros!$B$70)*1/Parámetros!$B$69)*Parámetros!$B$66/100)+(Parámetros!$B$26/100*Parámetros!$B$23/Parámetros!$B$69+(Parámetros!$B$26/100*Parámetros!$B$23-Parámetros!$B$26/100*Parámetros!$B$23*0/Parámetros!$B$69)*Parámetros!$B$66/100)</f>
      </c>
      <c r="D36" s="22">
        <f>(MAX(0,Parámetros!$B$25/100*Parámetros!$B$23-Parámetros!$B$70)/Parámetros!$B$69+(MAX(0,Parámetros!$B$25/100*Parámetros!$B$23-Parámetros!$B$70)-MAX(0,Parámetros!$B$25/100*Parámetros!$B$23-Parámetros!$B$70)*2/Parámetros!$B$69)*Parámetros!$B$66/100)+(Parámetros!$B$26/100*Parámetros!$B$23/Parámetros!$B$69+(Parámetros!$B$26/100*Parámetros!$B$23-Parámetros!$B$26/100*Parámetros!$B$23*1/Parámetros!$B$69)*Parámetros!$B$66/100)+(Parámetros!$B$27/100*Parámetros!$B$23/Parámetros!$B$69+(Parámetros!$B$27/100*Parámetros!$B$23-Parámetros!$B$27/100*Parámetros!$B$23*0/Parámetros!$B$69)*Parámetros!$B$66/100)</f>
      </c>
      <c r="E36" s="22">
        <f>(MAX(0,Parámetros!$B$25/100*Parámetros!$B$23-Parámetros!$B$70)/Parámetros!$B$69+(MAX(0,Parámetros!$B$25/100*Parámetros!$B$23-Parámetros!$B$70)-MAX(0,Parámetros!$B$25/100*Parámetros!$B$23-Parámetros!$B$70)*3/Parámetros!$B$69)*Parámetros!$B$66/100)+(Parámetros!$B$26/100*Parámetros!$B$23/Parámetros!$B$69+(Parámetros!$B$26/100*Parámetros!$B$23-Parámetros!$B$26/100*Parámetros!$B$23*2/Parámetros!$B$69)*Parámetros!$B$66/100)+(Parámetros!$B$27/100*Parámetros!$B$23/Parámetros!$B$69+(Parámetros!$B$27/100*Parámetros!$B$23-Parámetros!$B$27/100*Parámetros!$B$23*1/Parámetros!$B$69)*Parámetros!$B$66/100)+(Parámetros!$B$28/100*Parámetros!$B$23/Parámetros!$B$69+(Parámetros!$B$28/100*Parámetros!$B$23-Parámetros!$B$28/100*Parámetros!$B$23*0/Parámetros!$B$69)*Parámetros!$B$66/100)</f>
      </c>
      <c r="F36" s="22">
        <f>(MAX(0,Parámetros!$B$25/100*Parámetros!$B$23-Parámetros!$B$70)/Parámetros!$B$69+(MAX(0,Parámetros!$B$25/100*Parámetros!$B$23-Parámetros!$B$70)-MAX(0,Parámetros!$B$25/100*Parámetros!$B$23-Parámetros!$B$70)*4/Parámetros!$B$69)*Parámetros!$B$66/100)+(Parámetros!$B$26/100*Parámetros!$B$23/Parámetros!$B$69+(Parámetros!$B$26/100*Parámetros!$B$23-Parámetros!$B$26/100*Parámetros!$B$23*3/Parámetros!$B$69)*Parámetros!$B$66/100)+(Parámetros!$B$27/100*Parámetros!$B$23/Parámetros!$B$69+(Parámetros!$B$27/100*Parámetros!$B$23-Parámetros!$B$27/100*Parámetros!$B$23*2/Parámetros!$B$69)*Parámetros!$B$66/100)+(Parámetros!$B$28/100*Parámetros!$B$23/Parámetros!$B$69+(Parámetros!$B$28/100*Parámetros!$B$23-Parámetros!$B$28/100*Parámetros!$B$23*1/Parámetros!$B$69)*Parámetros!$B$66/100)</f>
      </c>
      <c r="G36" s="22">
        <f>(MAX(0,Parámetros!$B$25/100*Parámetros!$B$23-Parámetros!$B$70)/Parámetros!$B$69+(MAX(0,Parámetros!$B$25/100*Parámetros!$B$23-Parámetros!$B$70)-MAX(0,Parámetros!$B$25/100*Parámetros!$B$23-Parámetros!$B$70)*5/Parámetros!$B$69)*Parámetros!$B$66/100)+(Parámetros!$B$26/100*Parámetros!$B$23/Parámetros!$B$69+(Parámetros!$B$26/100*Parámetros!$B$23-Parámetros!$B$26/100*Parámetros!$B$23*4/Parámetros!$B$69)*Parámetros!$B$66/100)+(Parámetros!$B$27/100*Parámetros!$B$23/Parámetros!$B$69+(Parámetros!$B$27/100*Parámetros!$B$23-Parámetros!$B$27/100*Parámetros!$B$23*3/Parámetros!$B$69)*Parámetros!$B$66/100)+(Parámetros!$B$28/100*Parámetros!$B$23/Parámetros!$B$69+(Parámetros!$B$28/100*Parámetros!$B$23-Parámetros!$B$28/100*Parámetros!$B$23*2/Parámetros!$B$69)*Parámetros!$B$66/100)</f>
      </c>
      <c r="H36" s="22">
        <f>(MAX(0,Parámetros!$B$25/100*Parámetros!$B$23-Parámetros!$B$70)/Parámetros!$B$69+(MAX(0,Parámetros!$B$25/100*Parámetros!$B$23-Parámetros!$B$70)-MAX(0,Parámetros!$B$25/100*Parámetros!$B$23-Parámetros!$B$70)*6/Parámetros!$B$69)*Parámetros!$B$66/100)+(Parámetros!$B$26/100*Parámetros!$B$23/Parámetros!$B$69+(Parámetros!$B$26/100*Parámetros!$B$23-Parámetros!$B$26/100*Parámetros!$B$23*5/Parámetros!$B$69)*Parámetros!$B$66/100)+(Parámetros!$B$27/100*Parámetros!$B$23/Parámetros!$B$69+(Parámetros!$B$27/100*Parámetros!$B$23-Parámetros!$B$27/100*Parámetros!$B$23*4/Parámetros!$B$69)*Parámetros!$B$66/100)+(Parámetros!$B$28/100*Parámetros!$B$23/Parámetros!$B$69+(Parámetros!$B$28/100*Parámetros!$B$23-Parámetros!$B$28/100*Parámetros!$B$23*3/Parámetros!$B$69)*Parámetros!$B$66/100)</f>
      </c>
      <c r="I36" s="22">
        <f>(MAX(0,Parámetros!$B$25/100*Parámetros!$B$23-Parámetros!$B$70)/Parámetros!$B$69+(MAX(0,Parámetros!$B$25/100*Parámetros!$B$23-Parámetros!$B$70)-MAX(0,Parámetros!$B$25/100*Parámetros!$B$23-Parámetros!$B$70)*7/Parámetros!$B$69)*Parámetros!$B$66/100)+(Parámetros!$B$26/100*Parámetros!$B$23/Parámetros!$B$69+(Parámetros!$B$26/100*Parámetros!$B$23-Parámetros!$B$26/100*Parámetros!$B$23*6/Parámetros!$B$69)*Parámetros!$B$66/100)+(Parámetros!$B$27/100*Parámetros!$B$23/Parámetros!$B$69+(Parámetros!$B$27/100*Parámetros!$B$23-Parámetros!$B$27/100*Parámetros!$B$23*5/Parámetros!$B$69)*Parámetros!$B$66/100)+(Parámetros!$B$28/100*Parámetros!$B$23/Parámetros!$B$69+(Parámetros!$B$28/100*Parámetros!$B$23-Parámetros!$B$28/100*Parámetros!$B$23*4/Parámetros!$B$69)*Parámetros!$B$66/100)</f>
      </c>
      <c r="J36" s="22">
        <f>(MAX(0,Parámetros!$B$25/100*Parámetros!$B$23-Parámetros!$B$70)/Parámetros!$B$69+(MAX(0,Parámetros!$B$25/100*Parámetros!$B$23-Parámetros!$B$70)-MAX(0,Parámetros!$B$25/100*Parámetros!$B$23-Parámetros!$B$70)*8/Parámetros!$B$69)*Parámetros!$B$66/100)+(Parámetros!$B$26/100*Parámetros!$B$23/Parámetros!$B$69+(Parámetros!$B$26/100*Parámetros!$B$23-Parámetros!$B$26/100*Parámetros!$B$23*7/Parámetros!$B$69)*Parámetros!$B$66/100)+(Parámetros!$B$27/100*Parámetros!$B$23/Parámetros!$B$69+(Parámetros!$B$27/100*Parámetros!$B$23-Parámetros!$B$27/100*Parámetros!$B$23*6/Parámetros!$B$69)*Parámetros!$B$66/100)+(Parámetros!$B$28/100*Parámetros!$B$23/Parámetros!$B$69+(Parámetros!$B$28/100*Parámetros!$B$23-Parámetros!$B$28/100*Parámetros!$B$23*5/Parámetros!$B$69)*Parámetros!$B$66/100)</f>
      </c>
      <c r="K36" s="22">
        <f>(MAX(0,Parámetros!$B$25/100*Parámetros!$B$23-Parámetros!$B$70)/Parámetros!$B$69+(MAX(0,Parámetros!$B$25/100*Parámetros!$B$23-Parámetros!$B$70)-MAX(0,Parámetros!$B$25/100*Parámetros!$B$23-Parámetros!$B$70)*9/Parámetros!$B$69)*Parámetros!$B$66/100)+(Parámetros!$B$26/100*Parámetros!$B$23/Parámetros!$B$69+(Parámetros!$B$26/100*Parámetros!$B$23-Parámetros!$B$26/100*Parámetros!$B$23*8/Parámetros!$B$69)*Parámetros!$B$66/100)+(Parámetros!$B$27/100*Parámetros!$B$23/Parámetros!$B$69+(Parámetros!$B$27/100*Parámetros!$B$23-Parámetros!$B$27/100*Parámetros!$B$23*7/Parámetros!$B$69)*Parámetros!$B$66/100)+(Parámetros!$B$28/100*Parámetros!$B$23/Parámetros!$B$69+(Parámetros!$B$28/100*Parámetros!$B$23-Parámetros!$B$28/100*Parámetros!$B$23*6/Parámetros!$B$69)*Parámetros!$B$66/100)</f>
      </c>
      <c r="L36" s="22">
        <f>(Parámetros!$B$26/100*Parámetros!$B$23/Parámetros!$B$69+(Parámetros!$B$26/100*Parámetros!$B$23-Parámetros!$B$26/100*Parámetros!$B$23*9/Parámetros!$B$69)*Parámetros!$B$66/100)+(Parámetros!$B$27/100*Parámetros!$B$23/Parámetros!$B$69+(Parámetros!$B$27/100*Parámetros!$B$23-Parámetros!$B$27/100*Parámetros!$B$23*8/Parámetros!$B$69)*Parámetros!$B$66/100)+(Parámetros!$B$28/100*Parámetros!$B$23/Parámetros!$B$69+(Parámetros!$B$28/100*Parámetros!$B$23-Parámetros!$B$28/100*Parámetros!$B$23*7/Parámetros!$B$69)*Parámetros!$B$66/100)</f>
      </c>
    </row>
    <row r="37" ht="18" customHeight="1" spans="1:12" x14ac:dyDescent="0.25">
      <c r="A37" s="21" t="s">
        <v>138</v>
      </c>
      <c r="B37" s="22">
        <v>0</v>
      </c>
      <c r="C37" s="22">
        <f>((C3*Parámetros!$B$67)/Parámetros!$B$68+((C3*Parámetros!$B$67)-(C3*Parámetros!$B$67)*0/Parámetros!$B$68)*Parámetros!$B$66/100)</f>
      </c>
      <c r="D37" s="22">
        <f>((C3*Parámetros!$B$67)/Parámetros!$B$68+((C3*Parámetros!$B$67)-(C3*Parámetros!$B$67)*1/Parámetros!$B$68)*Parámetros!$B$66/100)+((D3*Parámetros!$B$67)/Parámetros!$B$68+((D3*Parámetros!$B$67)-(D3*Parámetros!$B$67)*0/Parámetros!$B$68)*Parámetros!$B$66/100)</f>
      </c>
      <c r="E37" s="22">
        <f>((C3*Parámetros!$B$67)/Parámetros!$B$68+((C3*Parámetros!$B$67)-(C3*Parámetros!$B$67)*2/Parámetros!$B$68)*Parámetros!$B$66/100)+((D3*Parámetros!$B$67)/Parámetros!$B$68+((D3*Parámetros!$B$67)-(D3*Parámetros!$B$67)*1/Parámetros!$B$68)*Parámetros!$B$66/100)+((E3*Parámetros!$B$67)/Parámetros!$B$68+((E3*Parámetros!$B$67)-(E3*Parámetros!$B$67)*0/Parámetros!$B$68)*Parámetros!$B$66/100)</f>
      </c>
      <c r="F37" s="22">
        <f>((C3*Parámetros!$B$67)/Parámetros!$B$68+((C3*Parámetros!$B$67)-(C3*Parámetros!$B$67)*3/Parámetros!$B$68)*Parámetros!$B$66/100)+((D3*Parámetros!$B$67)/Parámetros!$B$68+((D3*Parámetros!$B$67)-(D3*Parámetros!$B$67)*2/Parámetros!$B$68)*Parámetros!$B$66/100)+((E3*Parámetros!$B$67)/Parámetros!$B$68+((E3*Parámetros!$B$67)-(E3*Parámetros!$B$67)*1/Parámetros!$B$68)*Parámetros!$B$66/100)+((F3*(((1-Parámetros!$B$8/100)*Parámetros!$B$11+(Parámetros!$B$8/100)*Parámetros!$B$12)+((Parámetros!$B$6/100)*Parámetros!$B$13+(Parámetros!$B$7/100)*Parámetros!$B$14+((100-Parámetros!$B$6-Parámetros!$B$7)/100)*Parámetros!$B$15)+Parámetros!$B$16))/Parámetros!$B$68+((F3*(((1-Parámetros!$B$8/100)*Parámetros!$B$11+(Parámetros!$B$8/100)*Parámetros!$B$12)+((Parámetros!$B$6/100)*Parámetros!$B$13+(Parámetros!$B$7/100)*Parámetros!$B$14+((100-Parámetros!$B$6-Parámetros!$B$7)/100)*Parámetros!$B$15)+Parámetros!$B$16))-(F3*(((1-Parámetros!$B$8/100)*Parámetros!$B$11+(Parámetros!$B$8/100)*Parámetros!$B$12)+((Parámetros!$B$6/100)*Parámetros!$B$13+(Parámetros!$B$7/100)*Parámetros!$B$14+((100-Parámetros!$B$6-Parámetros!$B$7)/100)*Parámetros!$B$15)+Parámetros!$B$16))*0/Parámetros!$B$68)*Parámetros!$B$66/100)</f>
      </c>
      <c r="G37" s="22">
        <f>((C3*Parámetros!$B$67)/Parámetros!$B$68+((C3*Parámetros!$B$67)-(C3*Parámetros!$B$67)*4/Parámetros!$B$68)*Parámetros!$B$66/100)+((D3*Parámetros!$B$67)/Parámetros!$B$68+((D3*Parámetros!$B$67)-(D3*Parámetros!$B$67)*3/Parámetros!$B$68)*Parámetros!$B$66/100)+((E3*Parámetros!$B$67)/Parámetros!$B$68+((E3*Parámetros!$B$67)-(E3*Parámetros!$B$67)*2/Parámetros!$B$68)*Parámetros!$B$66/100)+((F3*(((1-Parámetros!$B$8/100)*Parámetros!$B$11+(Parámetros!$B$8/100)*Parámetros!$B$12)+((Parámetros!$B$6/100)*Parámetros!$B$13+(Parámetros!$B$7/100)*Parámetros!$B$14+((100-Parámetros!$B$6-Parámetros!$B$7)/100)*Parámetros!$B$15)+Parámetros!$B$16))/Parámetros!$B$68+((F3*(((1-Parámetros!$B$8/100)*Parámetros!$B$11+(Parámetros!$B$8/100)*Parámetros!$B$12)+((Parámetros!$B$6/100)*Parámetros!$B$13+(Parámetros!$B$7/100)*Parámetros!$B$14+((100-Parámetros!$B$6-Parámetros!$B$7)/100)*Parámetros!$B$15)+Parámetros!$B$16))-(F3*(((1-Parámetros!$B$8/100)*Parámetros!$B$11+(Parámetros!$B$8/100)*Parámetros!$B$12)+((Parámetros!$B$6/100)*Parámetros!$B$13+(Parámetros!$B$7/100)*Parámetros!$B$14+((100-Parámetros!$B$6-Parámetros!$B$7)/100)*Parámetros!$B$15)+Parámetros!$B$16))*1/Parámetros!$B$68)*Parámetros!$B$66/100)+((G3*(((1-Parámetros!$B$8/100)*Parámetros!$B$11+(Parámetros!$B$8/100)*Parámetros!$B$12)+((Parámetros!$B$6/100)*Parámetros!$B$13+(Parámetros!$B$7/100)*Parámetros!$B$14+((100-Parámetros!$B$6-Parámetros!$B$7)/100)*Parámetros!$B$15)+Parámetros!$B$16))/Parámetros!$B$68+((G3*(((1-Parámetros!$B$8/100)*Parámetros!$B$11+(Parámetros!$B$8/100)*Parámetros!$B$12)+((Parámetros!$B$6/100)*Parámetros!$B$13+(Parámetros!$B$7/100)*Parámetros!$B$14+((100-Parámetros!$B$6-Parámetros!$B$7)/100)*Parámetros!$B$15)+Parámetros!$B$16))-(G3*(((1-Parámetros!$B$8/100)*Parámetros!$B$11+(Parámetros!$B$8/100)*Parámetros!$B$12)+((Parámetros!$B$6/100)*Parámetros!$B$13+(Parámetros!$B$7/100)*Parámetros!$B$14+((100-Parámetros!$B$6-Parámetros!$B$7)/100)*Parámetros!$B$15)+Parámetros!$B$16))*0/Parámetros!$B$68)*Parámetros!$B$66/100)</f>
      </c>
      <c r="H37" s="22">
        <f>((C3*Parámetros!$B$67)/Parámetros!$B$68+((C3*Parámetros!$B$67)-(C3*Parámetros!$B$67)*5/Parámetros!$B$68)*Parámetros!$B$66/100)+((D3*Parámetros!$B$67)/Parámetros!$B$68+((D3*Parámetros!$B$67)-(D3*Parámetros!$B$67)*4/Parámetros!$B$68)*Parámetros!$B$66/100)+((E3*Parámetros!$B$67)/Parámetros!$B$68+((E3*Parámetros!$B$67)-(E3*Parámetros!$B$67)*3/Parámetros!$B$68)*Parámetros!$B$66/100)+((F3*(((1-Parámetros!$B$8/100)*Parámetros!$B$11+(Parámetros!$B$8/100)*Parámetros!$B$12)+((Parámetros!$B$6/100)*Parámetros!$B$13+(Parámetros!$B$7/100)*Parámetros!$B$14+((100-Parámetros!$B$6-Parámetros!$B$7)/100)*Parámetros!$B$15)+Parámetros!$B$16))/Parámetros!$B$68+((F3*(((1-Parámetros!$B$8/100)*Parámetros!$B$11+(Parámetros!$B$8/100)*Parámetros!$B$12)+((Parámetros!$B$6/100)*Parámetros!$B$13+(Parámetros!$B$7/100)*Parámetros!$B$14+((100-Parámetros!$B$6-Parámetros!$B$7)/100)*Parámetros!$B$15)+Parámetros!$B$16))-(F3*(((1-Parámetros!$B$8/100)*Parámetros!$B$11+(Parámetros!$B$8/100)*Parámetros!$B$12)+((Parámetros!$B$6/100)*Parámetros!$B$13+(Parámetros!$B$7/100)*Parámetros!$B$14+((100-Parámetros!$B$6-Parámetros!$B$7)/100)*Parámetros!$B$15)+Parámetros!$B$16))*2/Parámetros!$B$68)*Parámetros!$B$66/100)+((G3*(((1-Parámetros!$B$8/100)*Parámetros!$B$11+(Parámetros!$B$8/100)*Parámetros!$B$12)+((Parámetros!$B$6/100)*Parámetros!$B$13+(Parámetros!$B$7/100)*Parámetros!$B$14+((100-Parámetros!$B$6-Parámetros!$B$7)/100)*Parámetros!$B$15)+Parámetros!$B$16))/Parámetros!$B$68+((G3*(((1-Parámetros!$B$8/100)*Parámetros!$B$11+(Parámetros!$B$8/100)*Parámetros!$B$12)+((Parámetros!$B$6/100)*Parámetros!$B$13+(Parámetros!$B$7/100)*Parámetros!$B$14+((100-Parámetros!$B$6-Parámetros!$B$7)/100)*Parámetros!$B$15)+Parámetros!$B$16))-(G3*(((1-Parámetros!$B$8/100)*Parámetros!$B$11+(Parámetros!$B$8/100)*Parámetros!$B$12)+((Parámetros!$B$6/100)*Parámetros!$B$13+(Parámetros!$B$7/100)*Parámetros!$B$14+((100-Parámetros!$B$6-Parámetros!$B$7)/100)*Parámetros!$B$15)+Parámetros!$B$16))*1/Parámetros!$B$68)*Parámetros!$B$66/100)+((H3*(((1-Parámetros!$B$8/100)*Parámetros!$B$11+(Parámetros!$B$8/100)*Parámetros!$B$12)+((Parámetros!$B$6/100)*Parámetros!$B$13+(Parámetros!$B$7/100)*Parámetros!$B$14+((100-Parámetros!$B$6-Parámetros!$B$7)/100)*Parámetros!$B$15)+Parámetros!$B$16))/Parámetros!$B$68+((H3*(((1-Parámetros!$B$8/100)*Parámetros!$B$11+(Parámetros!$B$8/100)*Parámetros!$B$12)+((Parámetros!$B$6/100)*Parámetros!$B$13+(Parámetros!$B$7/100)*Parámetros!$B$14+((100-Parámetros!$B$6-Parámetros!$B$7)/100)*Parámetros!$B$15)+Parámetros!$B$16))-(H3*(((1-Parámetros!$B$8/100)*Parámetros!$B$11+(Parámetros!$B$8/100)*Parámetros!$B$12)+((Parámetros!$B$6/100)*Parámetros!$B$13+(Parámetros!$B$7/100)*Parámetros!$B$14+((100-Parámetros!$B$6-Parámetros!$B$7)/100)*Parámetros!$B$15)+Parámetros!$B$16))*0/Parámetros!$B$68)*Parámetros!$B$66/100)</f>
      </c>
      <c r="I37" s="22">
        <f>((C3*Parámetros!$B$67)/Parámetros!$B$68+((C3*Parámetros!$B$67)-(C3*Parámetros!$B$67)*6/Parámetros!$B$68)*Parámetros!$B$66/100)+((D3*Parámetros!$B$67)/Parámetros!$B$68+((D3*Parámetros!$B$67)-(D3*Parámetros!$B$67)*5/Parámetros!$B$68)*Parámetros!$B$66/100)+((E3*Parámetros!$B$67)/Parámetros!$B$68+((E3*Parámetros!$B$67)-(E3*Parámetros!$B$67)*4/Parámetros!$B$68)*Parámetros!$B$66/100)+((F3*(((1-Parámetros!$B$8/100)*Parámetros!$B$11+(Parámetros!$B$8/100)*Parámetros!$B$12)+((Parámetros!$B$6/100)*Parámetros!$B$13+(Parámetros!$B$7/100)*Parámetros!$B$14+((100-Parámetros!$B$6-Parámetros!$B$7)/100)*Parámetros!$B$15)+Parámetros!$B$16))/Parámetros!$B$68+((F3*(((1-Parámetros!$B$8/100)*Parámetros!$B$11+(Parámetros!$B$8/100)*Parámetros!$B$12)+((Parámetros!$B$6/100)*Parámetros!$B$13+(Parámetros!$B$7/100)*Parámetros!$B$14+((100-Parámetros!$B$6-Parámetros!$B$7)/100)*Parámetros!$B$15)+Parámetros!$B$16))-(F3*(((1-Parámetros!$B$8/100)*Parámetros!$B$11+(Parámetros!$B$8/100)*Parámetros!$B$12)+((Parámetros!$B$6/100)*Parámetros!$B$13+(Parámetros!$B$7/100)*Parámetros!$B$14+((100-Parámetros!$B$6-Parámetros!$B$7)/100)*Parámetros!$B$15)+Parámetros!$B$16))*3/Parámetros!$B$68)*Parámetros!$B$66/100)+((G3*(((1-Parámetros!$B$8/100)*Parámetros!$B$11+(Parámetros!$B$8/100)*Parámetros!$B$12)+((Parámetros!$B$6/100)*Parámetros!$B$13+(Parámetros!$B$7/100)*Parámetros!$B$14+((100-Parámetros!$B$6-Parámetros!$B$7)/100)*Parámetros!$B$15)+Parámetros!$B$16))/Parámetros!$B$68+((G3*(((1-Parámetros!$B$8/100)*Parámetros!$B$11+(Parámetros!$B$8/100)*Parámetros!$B$12)+((Parámetros!$B$6/100)*Parámetros!$B$13+(Parámetros!$B$7/100)*Parámetros!$B$14+((100-Parámetros!$B$6-Parámetros!$B$7)/100)*Parámetros!$B$15)+Parámetros!$B$16))-(G3*(((1-Parámetros!$B$8/100)*Parámetros!$B$11+(Parámetros!$B$8/100)*Parámetros!$B$12)+((Parámetros!$B$6/100)*Parámetros!$B$13+(Parámetros!$B$7/100)*Parámetros!$B$14+((100-Parámetros!$B$6-Parámetros!$B$7)/100)*Parámetros!$B$15)+Parámetros!$B$16))*2/Parámetros!$B$68)*Parámetros!$B$66/100)+((H3*(((1-Parámetros!$B$8/100)*Parámetros!$B$11+(Parámetros!$B$8/100)*Parámetros!$B$12)+((Parámetros!$B$6/100)*Parámetros!$B$13+(Parámetros!$B$7/100)*Parámetros!$B$14+((100-Parámetros!$B$6-Parámetros!$B$7)/100)*Parámetros!$B$15)+Parámetros!$B$16))/Parámetros!$B$68+((H3*(((1-Parámetros!$B$8/100)*Parámetros!$B$11+(Parámetros!$B$8/100)*Parámetros!$B$12)+((Parámetros!$B$6/100)*Parámetros!$B$13+(Parámetros!$B$7/100)*Parámetros!$B$14+((100-Parámetros!$B$6-Parámetros!$B$7)/100)*Parámetros!$B$15)+Parámetros!$B$16))-(H3*(((1-Parámetros!$B$8/100)*Parámetros!$B$11+(Parámetros!$B$8/100)*Parámetros!$B$12)+((Parámetros!$B$6/100)*Parámetros!$B$13+(Parámetros!$B$7/100)*Parámetros!$B$14+((100-Parámetros!$B$6-Parámetros!$B$7)/100)*Parámetros!$B$15)+Parámetros!$B$16))*1/Parámetros!$B$68)*Parámetros!$B$66/100)+((I3*(((1-Parámetros!$B$8/100)*Parámetros!$B$11+(Parámetros!$B$8/100)*Parámetros!$B$12)+((Parámetros!$B$6/100)*Parámetros!$B$13+(Parámetros!$B$7/100)*Parámetros!$B$14+((100-Parámetros!$B$6-Parámetros!$B$7)/100)*Parámetros!$B$15)+Parámetros!$B$16))/Parámetros!$B$68+((I3*(((1-Parámetros!$B$8/100)*Parámetros!$B$11+(Parámetros!$B$8/100)*Parámetros!$B$12)+((Parámetros!$B$6/100)*Parámetros!$B$13+(Parámetros!$B$7/100)*Parámetros!$B$14+((100-Parámetros!$B$6-Parámetros!$B$7)/100)*Parámetros!$B$15)+Parámetros!$B$16))-(I3*(((1-Parámetros!$B$8/100)*Parámetros!$B$11+(Parámetros!$B$8/100)*Parámetros!$B$12)+((Parámetros!$B$6/100)*Parámetros!$B$13+(Parámetros!$B$7/100)*Parámetros!$B$14+((100-Parámetros!$B$6-Parámetros!$B$7)/100)*Parámetros!$B$15)+Parámetros!$B$16))*0/Parámetros!$B$68)*Parámetros!$B$66/100)</f>
      </c>
      <c r="J37" s="22">
        <f>((C3*Parámetros!$B$67)/Parámetros!$B$68+((C3*Parámetros!$B$67)-(C3*Parámetros!$B$67)*7/Parámetros!$B$68)*Parámetros!$B$66/100)+((D3*Parámetros!$B$67)/Parámetros!$B$68+((D3*Parámetros!$B$67)-(D3*Parámetros!$B$67)*6/Parámetros!$B$68)*Parámetros!$B$66/100)+((E3*Parámetros!$B$67)/Parámetros!$B$68+((E3*Parámetros!$B$67)-(E3*Parámetros!$B$67)*5/Parámetros!$B$68)*Parámetros!$B$66/100)+((F3*(((1-Parámetros!$B$8/100)*Parámetros!$B$11+(Parámetros!$B$8/100)*Parámetros!$B$12)+((Parámetros!$B$6/100)*Parámetros!$B$13+(Parámetros!$B$7/100)*Parámetros!$B$14+((100-Parámetros!$B$6-Parámetros!$B$7)/100)*Parámetros!$B$15)+Parámetros!$B$16))/Parámetros!$B$68+((F3*(((1-Parámetros!$B$8/100)*Parámetros!$B$11+(Parámetros!$B$8/100)*Parámetros!$B$12)+((Parámetros!$B$6/100)*Parámetros!$B$13+(Parámetros!$B$7/100)*Parámetros!$B$14+((100-Parámetros!$B$6-Parámetros!$B$7)/100)*Parámetros!$B$15)+Parámetros!$B$16))-(F3*(((1-Parámetros!$B$8/100)*Parámetros!$B$11+(Parámetros!$B$8/100)*Parámetros!$B$12)+((Parámetros!$B$6/100)*Parámetros!$B$13+(Parámetros!$B$7/100)*Parámetros!$B$14+((100-Parámetros!$B$6-Parámetros!$B$7)/100)*Parámetros!$B$15)+Parámetros!$B$16))*4/Parámetros!$B$68)*Parámetros!$B$66/100)+((G3*(((1-Parámetros!$B$8/100)*Parámetros!$B$11+(Parámetros!$B$8/100)*Parámetros!$B$12)+((Parámetros!$B$6/100)*Parámetros!$B$13+(Parámetros!$B$7/100)*Parámetros!$B$14+((100-Parámetros!$B$6-Parámetros!$B$7)/100)*Parámetros!$B$15)+Parámetros!$B$16))/Parámetros!$B$68+((G3*(((1-Parámetros!$B$8/100)*Parámetros!$B$11+(Parámetros!$B$8/100)*Parámetros!$B$12)+((Parámetros!$B$6/100)*Parámetros!$B$13+(Parámetros!$B$7/100)*Parámetros!$B$14+((100-Parámetros!$B$6-Parámetros!$B$7)/100)*Parámetros!$B$15)+Parámetros!$B$16))-(G3*(((1-Parámetros!$B$8/100)*Parámetros!$B$11+(Parámetros!$B$8/100)*Parámetros!$B$12)+((Parámetros!$B$6/100)*Parámetros!$B$13+(Parámetros!$B$7/100)*Parámetros!$B$14+((100-Parámetros!$B$6-Parámetros!$B$7)/100)*Parámetros!$B$15)+Parámetros!$B$16))*3/Parámetros!$B$68)*Parámetros!$B$66/100)+((H3*(((1-Parámetros!$B$8/100)*Parámetros!$B$11+(Parámetros!$B$8/100)*Parámetros!$B$12)+((Parámetros!$B$6/100)*Parámetros!$B$13+(Parámetros!$B$7/100)*Parámetros!$B$14+((100-Parámetros!$B$6-Parámetros!$B$7)/100)*Parámetros!$B$15)+Parámetros!$B$16))/Parámetros!$B$68+((H3*(((1-Parámetros!$B$8/100)*Parámetros!$B$11+(Parámetros!$B$8/100)*Parámetros!$B$12)+((Parámetros!$B$6/100)*Parámetros!$B$13+(Parámetros!$B$7/100)*Parámetros!$B$14+((100-Parámetros!$B$6-Parámetros!$B$7)/100)*Parámetros!$B$15)+Parámetros!$B$16))-(H3*(((1-Parámetros!$B$8/100)*Parámetros!$B$11+(Parámetros!$B$8/100)*Parámetros!$B$12)+((Parámetros!$B$6/100)*Parámetros!$B$13+(Parámetros!$B$7/100)*Parámetros!$B$14+((100-Parámetros!$B$6-Parámetros!$B$7)/100)*Parámetros!$B$15)+Parámetros!$B$16))*2/Parámetros!$B$68)*Parámetros!$B$66/100)+((I3*(((1-Parámetros!$B$8/100)*Parámetros!$B$11+(Parámetros!$B$8/100)*Parámetros!$B$12)+((Parámetros!$B$6/100)*Parámetros!$B$13+(Parámetros!$B$7/100)*Parámetros!$B$14+((100-Parámetros!$B$6-Parámetros!$B$7)/100)*Parámetros!$B$15)+Parámetros!$B$16))/Parámetros!$B$68+((I3*(((1-Parámetros!$B$8/100)*Parámetros!$B$11+(Parámetros!$B$8/100)*Parámetros!$B$12)+((Parámetros!$B$6/100)*Parámetros!$B$13+(Parámetros!$B$7/100)*Parámetros!$B$14+((100-Parámetros!$B$6-Parámetros!$B$7)/100)*Parámetros!$B$15)+Parámetros!$B$16))-(I3*(((1-Parámetros!$B$8/100)*Parámetros!$B$11+(Parámetros!$B$8/100)*Parámetros!$B$12)+((Parámetros!$B$6/100)*Parámetros!$B$13+(Parámetros!$B$7/100)*Parámetros!$B$14+((100-Parámetros!$B$6-Parámetros!$B$7)/100)*Parámetros!$B$15)+Parámetros!$B$16))*1/Parámetros!$B$68)*Parámetros!$B$66/100)+((J3*(((1-Parámetros!$B$8/100)*Parámetros!$B$11+(Parámetros!$B$8/100)*Parámetros!$B$12)+((Parámetros!$B$6/100)*Parámetros!$B$13+(Parámetros!$B$7/100)*Parámetros!$B$14+((100-Parámetros!$B$6-Parámetros!$B$7)/100)*Parámetros!$B$15)+Parámetros!$B$16))/Parámetros!$B$68+((J3*(((1-Parámetros!$B$8/100)*Parámetros!$B$11+(Parámetros!$B$8/100)*Parámetros!$B$12)+((Parámetros!$B$6/100)*Parámetros!$B$13+(Parámetros!$B$7/100)*Parámetros!$B$14+((100-Parámetros!$B$6-Parámetros!$B$7)/100)*Parámetros!$B$15)+Parámetros!$B$16))-(J3*(((1-Parámetros!$B$8/100)*Parámetros!$B$11+(Parámetros!$B$8/100)*Parámetros!$B$12)+((Parámetros!$B$6/100)*Parámetros!$B$13+(Parámetros!$B$7/100)*Parámetros!$B$14+((100-Parámetros!$B$6-Parámetros!$B$7)/100)*Parámetros!$B$15)+Parámetros!$B$16))*0/Parámetros!$B$68)*Parámetros!$B$66/100)</f>
      </c>
      <c r="K37" s="22">
        <f>((C3*Parámetros!$B$67)/Parámetros!$B$68+((C3*Parámetros!$B$67)-(C3*Parámetros!$B$67)*8/Parámetros!$B$68)*Parámetros!$B$66/100)+((D3*Parámetros!$B$67)/Parámetros!$B$68+((D3*Parámetros!$B$67)-(D3*Parámetros!$B$67)*7/Parámetros!$B$68)*Parámetros!$B$66/100)+((E3*Parámetros!$B$67)/Parámetros!$B$68+((E3*Parámetros!$B$67)-(E3*Parámetros!$B$67)*6/Parámetros!$B$68)*Parámetros!$B$66/100)+((F3*(((1-Parámetros!$B$8/100)*Parámetros!$B$11+(Parámetros!$B$8/100)*Parámetros!$B$12)+((Parámetros!$B$6/100)*Parámetros!$B$13+(Parámetros!$B$7/100)*Parámetros!$B$14+((100-Parámetros!$B$6-Parámetros!$B$7)/100)*Parámetros!$B$15)+Parámetros!$B$16))/Parámetros!$B$68+((F3*(((1-Parámetros!$B$8/100)*Parámetros!$B$11+(Parámetros!$B$8/100)*Parámetros!$B$12)+((Parámetros!$B$6/100)*Parámetros!$B$13+(Parámetros!$B$7/100)*Parámetros!$B$14+((100-Parámetros!$B$6-Parámetros!$B$7)/100)*Parámetros!$B$15)+Parámetros!$B$16))-(F3*(((1-Parámetros!$B$8/100)*Parámetros!$B$11+(Parámetros!$B$8/100)*Parámetros!$B$12)+((Parámetros!$B$6/100)*Parámetros!$B$13+(Parámetros!$B$7/100)*Parámetros!$B$14+((100-Parámetros!$B$6-Parámetros!$B$7)/100)*Parámetros!$B$15)+Parámetros!$B$16))*5/Parámetros!$B$68)*Parámetros!$B$66/100)+((G3*(((1-Parámetros!$B$8/100)*Parámetros!$B$11+(Parámetros!$B$8/100)*Parámetros!$B$12)+((Parámetros!$B$6/100)*Parámetros!$B$13+(Parámetros!$B$7/100)*Parámetros!$B$14+((100-Parámetros!$B$6-Parámetros!$B$7)/100)*Parámetros!$B$15)+Parámetros!$B$16))/Parámetros!$B$68+((G3*(((1-Parámetros!$B$8/100)*Parámetros!$B$11+(Parámetros!$B$8/100)*Parámetros!$B$12)+((Parámetros!$B$6/100)*Parámetros!$B$13+(Parámetros!$B$7/100)*Parámetros!$B$14+((100-Parámetros!$B$6-Parámetros!$B$7)/100)*Parámetros!$B$15)+Parámetros!$B$16))-(G3*(((1-Parámetros!$B$8/100)*Parámetros!$B$11+(Parámetros!$B$8/100)*Parámetros!$B$12)+((Parámetros!$B$6/100)*Parámetros!$B$13+(Parámetros!$B$7/100)*Parámetros!$B$14+((100-Parámetros!$B$6-Parámetros!$B$7)/100)*Parámetros!$B$15)+Parámetros!$B$16))*4/Parámetros!$B$68)*Parámetros!$B$66/100)+((H3*(((1-Parámetros!$B$8/100)*Parámetros!$B$11+(Parámetros!$B$8/100)*Parámetros!$B$12)+((Parámetros!$B$6/100)*Parámetros!$B$13+(Parámetros!$B$7/100)*Parámetros!$B$14+((100-Parámetros!$B$6-Parámetros!$B$7)/100)*Parámetros!$B$15)+Parámetros!$B$16))/Parámetros!$B$68+((H3*(((1-Parámetros!$B$8/100)*Parámetros!$B$11+(Parámetros!$B$8/100)*Parámetros!$B$12)+((Parámetros!$B$6/100)*Parámetros!$B$13+(Parámetros!$B$7/100)*Parámetros!$B$14+((100-Parámetros!$B$6-Parámetros!$B$7)/100)*Parámetros!$B$15)+Parámetros!$B$16))-(H3*(((1-Parámetros!$B$8/100)*Parámetros!$B$11+(Parámetros!$B$8/100)*Parámetros!$B$12)+((Parámetros!$B$6/100)*Parámetros!$B$13+(Parámetros!$B$7/100)*Parámetros!$B$14+((100-Parámetros!$B$6-Parámetros!$B$7)/100)*Parámetros!$B$15)+Parámetros!$B$16))*3/Parámetros!$B$68)*Parámetros!$B$66/100)+((I3*(((1-Parámetros!$B$8/100)*Parámetros!$B$11+(Parámetros!$B$8/100)*Parámetros!$B$12)+((Parámetros!$B$6/100)*Parámetros!$B$13+(Parámetros!$B$7/100)*Parámetros!$B$14+((100-Parámetros!$B$6-Parámetros!$B$7)/100)*Parámetros!$B$15)+Parámetros!$B$16))/Parámetros!$B$68+((I3*(((1-Parámetros!$B$8/100)*Parámetros!$B$11+(Parámetros!$B$8/100)*Parámetros!$B$12)+((Parámetros!$B$6/100)*Parámetros!$B$13+(Parámetros!$B$7/100)*Parámetros!$B$14+((100-Parámetros!$B$6-Parámetros!$B$7)/100)*Parámetros!$B$15)+Parámetros!$B$16))-(I3*(((1-Parámetros!$B$8/100)*Parámetros!$B$11+(Parámetros!$B$8/100)*Parámetros!$B$12)+((Parámetros!$B$6/100)*Parámetros!$B$13+(Parámetros!$B$7/100)*Parámetros!$B$14+((100-Parámetros!$B$6-Parámetros!$B$7)/100)*Parámetros!$B$15)+Parámetros!$B$16))*2/Parámetros!$B$68)*Parámetros!$B$66/100)+((J3*(((1-Parámetros!$B$8/100)*Parámetros!$B$11+(Parámetros!$B$8/100)*Parámetros!$B$12)+((Parámetros!$B$6/100)*Parámetros!$B$13+(Parámetros!$B$7/100)*Parámetros!$B$14+((100-Parámetros!$B$6-Parámetros!$B$7)/100)*Parámetros!$B$15)+Parámetros!$B$16))/Parámetros!$B$68+((J3*(((1-Parámetros!$B$8/100)*Parámetros!$B$11+(Parámetros!$B$8/100)*Parámetros!$B$12)+((Parámetros!$B$6/100)*Parámetros!$B$13+(Parámetros!$B$7/100)*Parámetros!$B$14+((100-Parámetros!$B$6-Parámetros!$B$7)/100)*Parámetros!$B$15)+Parámetros!$B$16))-(J3*(((1-Parámetros!$B$8/100)*Parámetros!$B$11+(Parámetros!$B$8/100)*Parámetros!$B$12)+((Parámetros!$B$6/100)*Parámetros!$B$13+(Parámetros!$B$7/100)*Parámetros!$B$14+((100-Parámetros!$B$6-Parámetros!$B$7)/100)*Parámetros!$B$15)+Parámetros!$B$16))*1/Parámetros!$B$68)*Parámetros!$B$66/100)+((K3*(((1-Parámetros!$B$8/100)*Parámetros!$B$11+(Parámetros!$B$8/100)*Parámetros!$B$12)+((Parámetros!$B$6/100)*Parámetros!$B$13+(Parámetros!$B$7/100)*Parámetros!$B$14+((100-Parámetros!$B$6-Parámetros!$B$7)/100)*Parámetros!$B$15)+Parámetros!$B$16))/Parámetros!$B$68+((K3*(((1-Parámetros!$B$8/100)*Parámetros!$B$11+(Parámetros!$B$8/100)*Parámetros!$B$12)+((Parámetros!$B$6/100)*Parámetros!$B$13+(Parámetros!$B$7/100)*Parámetros!$B$14+((100-Parámetros!$B$6-Parámetros!$B$7)/100)*Parámetros!$B$15)+Parámetros!$B$16))-(K3*(((1-Parámetros!$B$8/100)*Parámetros!$B$11+(Parámetros!$B$8/100)*Parámetros!$B$12)+((Parámetros!$B$6/100)*Parámetros!$B$13+(Parámetros!$B$7/100)*Parámetros!$B$14+((100-Parámetros!$B$6-Parámetros!$B$7)/100)*Parámetros!$B$15)+Parámetros!$B$16))*0/Parámetros!$B$68)*Parámetros!$B$66/100)</f>
      </c>
      <c r="L37" s="22">
        <f>((C3*Parámetros!$B$67)/Parámetros!$B$68+((C3*Parámetros!$B$67)-(C3*Parámetros!$B$67)*9/Parámetros!$B$68)*Parámetros!$B$66/100)+((D3*Parámetros!$B$67)/Parámetros!$B$68+((D3*Parámetros!$B$67)-(D3*Parámetros!$B$67)*8/Parámetros!$B$68)*Parámetros!$B$66/100)+((E3*Parámetros!$B$67)/Parámetros!$B$68+((E3*Parámetros!$B$67)-(E3*Parámetros!$B$67)*7/Parámetros!$B$68)*Parámetros!$B$66/100)+((F3*(((1-Parámetros!$B$8/100)*Parámetros!$B$11+(Parámetros!$B$8/100)*Parámetros!$B$12)+((Parámetros!$B$6/100)*Parámetros!$B$13+(Parámetros!$B$7/100)*Parámetros!$B$14+((100-Parámetros!$B$6-Parámetros!$B$7)/100)*Parámetros!$B$15)+Parámetros!$B$16))/Parámetros!$B$68+((F3*(((1-Parámetros!$B$8/100)*Parámetros!$B$11+(Parámetros!$B$8/100)*Parámetros!$B$12)+((Parámetros!$B$6/100)*Parámetros!$B$13+(Parámetros!$B$7/100)*Parámetros!$B$14+((100-Parámetros!$B$6-Parámetros!$B$7)/100)*Parámetros!$B$15)+Parámetros!$B$16))-(F3*(((1-Parámetros!$B$8/100)*Parámetros!$B$11+(Parámetros!$B$8/100)*Parámetros!$B$12)+((Parámetros!$B$6/100)*Parámetros!$B$13+(Parámetros!$B$7/100)*Parámetros!$B$14+((100-Parámetros!$B$6-Parámetros!$B$7)/100)*Parámetros!$B$15)+Parámetros!$B$16))*6/Parámetros!$B$68)*Parámetros!$B$66/100)+((G3*(((1-Parámetros!$B$8/100)*Parámetros!$B$11+(Parámetros!$B$8/100)*Parámetros!$B$12)+((Parámetros!$B$6/100)*Parámetros!$B$13+(Parámetros!$B$7/100)*Parámetros!$B$14+((100-Parámetros!$B$6-Parámetros!$B$7)/100)*Parámetros!$B$15)+Parámetros!$B$16))/Parámetros!$B$68+((G3*(((1-Parámetros!$B$8/100)*Parámetros!$B$11+(Parámetros!$B$8/100)*Parámetros!$B$12)+((Parámetros!$B$6/100)*Parámetros!$B$13+(Parámetros!$B$7/100)*Parámetros!$B$14+((100-Parámetros!$B$6-Parámetros!$B$7)/100)*Parámetros!$B$15)+Parámetros!$B$16))-(G3*(((1-Parámetros!$B$8/100)*Parámetros!$B$11+(Parámetros!$B$8/100)*Parámetros!$B$12)+((Parámetros!$B$6/100)*Parámetros!$B$13+(Parámetros!$B$7/100)*Parámetros!$B$14+((100-Parámetros!$B$6-Parámetros!$B$7)/100)*Parámetros!$B$15)+Parámetros!$B$16))*5/Parámetros!$B$68)*Parámetros!$B$66/100)+((H3*(((1-Parámetros!$B$8/100)*Parámetros!$B$11+(Parámetros!$B$8/100)*Parámetros!$B$12)+((Parámetros!$B$6/100)*Parámetros!$B$13+(Parámetros!$B$7/100)*Parámetros!$B$14+((100-Parámetros!$B$6-Parámetros!$B$7)/100)*Parámetros!$B$15)+Parámetros!$B$16))/Parámetros!$B$68+((H3*(((1-Parámetros!$B$8/100)*Parámetros!$B$11+(Parámetros!$B$8/100)*Parámetros!$B$12)+((Parámetros!$B$6/100)*Parámetros!$B$13+(Parámetros!$B$7/100)*Parámetros!$B$14+((100-Parámetros!$B$6-Parámetros!$B$7)/100)*Parámetros!$B$15)+Parámetros!$B$16))-(H3*(((1-Parámetros!$B$8/100)*Parámetros!$B$11+(Parámetros!$B$8/100)*Parámetros!$B$12)+((Parámetros!$B$6/100)*Parámetros!$B$13+(Parámetros!$B$7/100)*Parámetros!$B$14+((100-Parámetros!$B$6-Parámetros!$B$7)/100)*Parámetros!$B$15)+Parámetros!$B$16))*4/Parámetros!$B$68)*Parámetros!$B$66/100)+((I3*(((1-Parámetros!$B$8/100)*Parámetros!$B$11+(Parámetros!$B$8/100)*Parámetros!$B$12)+((Parámetros!$B$6/100)*Parámetros!$B$13+(Parámetros!$B$7/100)*Parámetros!$B$14+((100-Parámetros!$B$6-Parámetros!$B$7)/100)*Parámetros!$B$15)+Parámetros!$B$16))/Parámetros!$B$68+((I3*(((1-Parámetros!$B$8/100)*Parámetros!$B$11+(Parámetros!$B$8/100)*Parámetros!$B$12)+((Parámetros!$B$6/100)*Parámetros!$B$13+(Parámetros!$B$7/100)*Parámetros!$B$14+((100-Parámetros!$B$6-Parámetros!$B$7)/100)*Parámetros!$B$15)+Parámetros!$B$16))-(I3*(((1-Parámetros!$B$8/100)*Parámetros!$B$11+(Parámetros!$B$8/100)*Parámetros!$B$12)+((Parámetros!$B$6/100)*Parámetros!$B$13+(Parámetros!$B$7/100)*Parámetros!$B$14+((100-Parámetros!$B$6-Parámetros!$B$7)/100)*Parámetros!$B$15)+Parámetros!$B$16))*3/Parámetros!$B$68)*Parámetros!$B$66/100)+((J3*(((1-Parámetros!$B$8/100)*Parámetros!$B$11+(Parámetros!$B$8/100)*Parámetros!$B$12)+((Parámetros!$B$6/100)*Parámetros!$B$13+(Parámetros!$B$7/100)*Parámetros!$B$14+((100-Parámetros!$B$6-Parámetros!$B$7)/100)*Parámetros!$B$15)+Parámetros!$B$16))/Parámetros!$B$68+((J3*(((1-Parámetros!$B$8/100)*Parámetros!$B$11+(Parámetros!$B$8/100)*Parámetros!$B$12)+((Parámetros!$B$6/100)*Parámetros!$B$13+(Parámetros!$B$7/100)*Parámetros!$B$14+((100-Parámetros!$B$6-Parámetros!$B$7)/100)*Parámetros!$B$15)+Parámetros!$B$16))-(J3*(((1-Parámetros!$B$8/100)*Parámetros!$B$11+(Parámetros!$B$8/100)*Parámetros!$B$12)+((Parámetros!$B$6/100)*Parámetros!$B$13+(Parámetros!$B$7/100)*Parámetros!$B$14+((100-Parámetros!$B$6-Parámetros!$B$7)/100)*Parámetros!$B$15)+Parámetros!$B$16))*2/Parámetros!$B$68)*Parámetros!$B$66/100)+((K3*(((1-Parámetros!$B$8/100)*Parámetros!$B$11+(Parámetros!$B$8/100)*Parámetros!$B$12)+((Parámetros!$B$6/100)*Parámetros!$B$13+(Parámetros!$B$7/100)*Parámetros!$B$14+((100-Parámetros!$B$6-Parámetros!$B$7)/100)*Parámetros!$B$15)+Parámetros!$B$16))/Parámetros!$B$68+((K3*(((1-Parámetros!$B$8/100)*Parámetros!$B$11+(Parámetros!$B$8/100)*Parámetros!$B$12)+((Parámetros!$B$6/100)*Parámetros!$B$13+(Parámetros!$B$7/100)*Parámetros!$B$14+((100-Parámetros!$B$6-Parámetros!$B$7)/100)*Parámetros!$B$15)+Parámetros!$B$16))-(K3*(((1-Parámetros!$B$8/100)*Parámetros!$B$11+(Parámetros!$B$8/100)*Parámetros!$B$12)+((Parámetros!$B$6/100)*Parámetros!$B$13+(Parámetros!$B$7/100)*Parámetros!$B$14+((100-Parámetros!$B$6-Parámetros!$B$7)/100)*Parámetros!$B$15)+Parámetros!$B$16))*1/Parámetros!$B$68)*Parámetros!$B$66/100)+((L3*(((1-Parámetros!$B$8/100)*Parámetros!$B$11+(Parámetros!$B$8/100)*Parámetros!$B$12)+((Parámetros!$B$6/100)*Parámetros!$B$13+(Parámetros!$B$7/100)*Parámetros!$B$14+((100-Parámetros!$B$6-Parámetros!$B$7)/100)*Parámetros!$B$15)+Parámetros!$B$16))/Parámetros!$B$68+((L3*(((1-Parámetros!$B$8/100)*Parámetros!$B$11+(Parámetros!$B$8/100)*Parámetros!$B$12)+((Parámetros!$B$6/100)*Parámetros!$B$13+(Parámetros!$B$7/100)*Parámetros!$B$14+((100-Parámetros!$B$6-Parámetros!$B$7)/100)*Parámetros!$B$15)+Parámetros!$B$16))-(L3*(((1-Parámetros!$B$8/100)*Parámetros!$B$11+(Parámetros!$B$8/100)*Parámetros!$B$12)+((Parámetros!$B$6/100)*Parámetros!$B$13+(Parámetros!$B$7/100)*Parámetros!$B$14+((100-Parámetros!$B$6-Parámetros!$B$7)/100)*Parámetros!$B$15)+Parámetros!$B$16))*0/Parámetros!$B$68)*Parámetros!$B$66/100)</f>
      </c>
    </row>
    <row r="38" ht="18" customHeight="1" spans="1:12" x14ac:dyDescent="0.25">
      <c r="A38" s="23" t="s">
        <v>139</v>
      </c>
      <c r="B38" s="24">
        <f>B36+B37</f>
      </c>
      <c r="C38" s="24">
        <f>C36+C37</f>
      </c>
      <c r="D38" s="24">
        <f>D36+D37</f>
      </c>
      <c r="E38" s="24">
        <f>E36+E37</f>
      </c>
      <c r="F38" s="24">
        <f>F36+F37</f>
      </c>
      <c r="G38" s="24">
        <f>G36+G37</f>
      </c>
      <c r="H38" s="24">
        <f>H36+H37</f>
      </c>
      <c r="I38" s="24">
        <f>I36+I37</f>
      </c>
      <c r="J38" s="24">
        <f>J36+J37</f>
      </c>
      <c r="K38" s="24">
        <f>K36+K37</f>
      </c>
      <c r="L38" s="24">
        <f>L36+L37</f>
      </c>
    </row>
    <row r="39" ht="8" customHeight="1" x14ac:dyDescent="0.25"/>
    <row r="40" ht="18" customHeight="1" spans="1:12" x14ac:dyDescent="0.25">
      <c r="A40" s="4" t="s">
        <v>140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8" customHeight="1" spans="1:12" x14ac:dyDescent="0.25">
      <c r="A41" s="25" t="s">
        <v>141</v>
      </c>
      <c r="B41" s="6">
        <f>B33+B38-B20-B12</f>
      </c>
      <c r="C41" s="6">
        <f>C33+C38-C20-C12</f>
      </c>
      <c r="D41" s="6">
        <f>D33+D38-D20-D12</f>
      </c>
      <c r="E41" s="6">
        <f>E33+E38-E20-E12</f>
      </c>
      <c r="F41" s="6">
        <f>F33+F38-F20-F12</f>
      </c>
      <c r="G41" s="6">
        <f>G33+G38-G20-G12</f>
      </c>
      <c r="H41" s="6">
        <f>H33+H38-H20-H12</f>
      </c>
      <c r="I41" s="6">
        <f>I33+I38-I20-I12</f>
      </c>
      <c r="J41" s="6">
        <f>J33+J38-J20-J12</f>
      </c>
      <c r="K41" s="6">
        <f>K33+K38-K20-K12</f>
      </c>
      <c r="L41" s="6">
        <f>L33+L38-L20-L12</f>
      </c>
    </row>
    <row r="42" ht="18" customHeight="1" spans="1:12" x14ac:dyDescent="0.25">
      <c r="A42" s="5" t="s">
        <v>142</v>
      </c>
      <c r="B42" s="6">
        <f>B41/(1+Parámetros!$B$5/100)^0</f>
      </c>
      <c r="C42" s="6">
        <f>C41/(1+Parámetros!$B$5/100)^1</f>
      </c>
      <c r="D42" s="6">
        <f>D41/(1+Parámetros!$B$5/100)^2</f>
      </c>
      <c r="E42" s="6">
        <f>E41/(1+Parámetros!$B$5/100)^3</f>
      </c>
      <c r="F42" s="6">
        <f>F41/(1+Parámetros!$B$5/100)^4</f>
      </c>
      <c r="G42" s="6">
        <f>G41/(1+Parámetros!$B$5/100)^5</f>
      </c>
      <c r="H42" s="6">
        <f>H41/(1+Parámetros!$B$5/100)^6</f>
      </c>
      <c r="I42" s="6">
        <f>I41/(1+Parámetros!$B$5/100)^7</f>
      </c>
      <c r="J42" s="6">
        <f>J41/(1+Parámetros!$B$5/100)^8</f>
      </c>
      <c r="K42" s="6">
        <f>K41/(1+Parámetros!$B$5/100)^9</f>
      </c>
      <c r="L42" s="6">
        <f>L41/(1+Parámetros!$B$5/100)^10</f>
      </c>
    </row>
    <row r="43" ht="18" customHeight="1" spans="1:12" x14ac:dyDescent="0.25">
      <c r="A43" s="5" t="s">
        <v>143</v>
      </c>
      <c r="B43" s="6">
        <f>B42</f>
      </c>
      <c r="C43" s="6">
        <f>SUM(B42:C42)</f>
      </c>
      <c r="D43" s="6">
        <f>SUM(B42:D42)</f>
      </c>
      <c r="E43" s="6">
        <f>SUM(B42:E42)</f>
      </c>
      <c r="F43" s="6">
        <f>SUM(B42:F42)</f>
      </c>
      <c r="G43" s="6">
        <f>SUM(B42:G42)</f>
      </c>
      <c r="H43" s="6">
        <f>SUM(B42:H42)</f>
      </c>
      <c r="I43" s="6">
        <f>SUM(B42:I42)</f>
      </c>
      <c r="J43" s="6">
        <f>SUM(B42:J42)</f>
      </c>
      <c r="K43" s="6">
        <f>SUM(B42:K42)</f>
      </c>
      <c r="L43" s="6">
        <f>SUM(B42:L42)</f>
      </c>
    </row>
  </sheetData>
  <mergeCells count="6">
    <mergeCell ref="A2:L2"/>
    <mergeCell ref="A7:L7"/>
    <mergeCell ref="A14:L14"/>
    <mergeCell ref="A22:L22"/>
    <mergeCell ref="A35:L35"/>
    <mergeCell ref="A40:L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60" customWidth="1"/>
    <col min="4" max="4" width="22" customWidth="1"/>
  </cols>
  <sheetData>
    <row r="1" ht="28" customHeight="1" spans="1:3" x14ac:dyDescent="0.25">
      <c r="A1" s="26" t="s">
        <v>144</v>
      </c>
      <c r="B1" s="26"/>
      <c r="C1" s="26"/>
    </row>
    <row r="2" ht="8" customHeight="1" x14ac:dyDescent="0.25"/>
    <row r="3" spans="1:1" x14ac:dyDescent="0.25">
      <c r="A3" s="27" t="s">
        <v>145</v>
      </c>
    </row>
    <row r="4" ht="8" customHeight="1" x14ac:dyDescent="0.25"/>
    <row r="5" ht="18" customHeight="1" spans="1:3" x14ac:dyDescent="0.25">
      <c r="A5" s="2" t="s">
        <v>146</v>
      </c>
      <c r="B5" s="2"/>
      <c r="C5" s="2"/>
    </row>
    <row r="6" ht="22" customHeight="1" spans="1:3" x14ac:dyDescent="0.25">
      <c r="A6" s="28" t="s">
        <v>147</v>
      </c>
      <c r="B6" s="29">
        <f>'Flujo de Fondos'!L43</f>
      </c>
      <c r="C6" s="30" t="s">
        <v>148</v>
      </c>
    </row>
    <row r="7" ht="18" customHeight="1" spans="1:3" x14ac:dyDescent="0.25">
      <c r="A7" t="s">
        <v>149</v>
      </c>
      <c r="B7" s="31">
        <f>SUM('Flujo de Fondos'!B12:L12)</f>
      </c>
      <c r="C7" s="32" t="s">
        <v>150</v>
      </c>
    </row>
    <row r="8" ht="18" customHeight="1" spans="1:3" x14ac:dyDescent="0.25">
      <c r="A8" t="s">
        <v>151</v>
      </c>
      <c r="B8" s="31">
        <f>SUM('Flujo de Fondos'!B20:L20)</f>
      </c>
      <c r="C8" s="32" t="s">
        <v>152</v>
      </c>
    </row>
    <row r="9" ht="18" customHeight="1" spans="1:3" x14ac:dyDescent="0.25">
      <c r="A9" t="s">
        <v>153</v>
      </c>
      <c r="B9" s="31">
        <f>SUM('Flujo de Fondos'!B33:L33)</f>
      </c>
      <c r="C9" s="32" t="s">
        <v>154</v>
      </c>
    </row>
    <row r="10" ht="18" customHeight="1" spans="1:3" x14ac:dyDescent="0.25">
      <c r="A10" t="s">
        <v>155</v>
      </c>
      <c r="B10" s="31">
        <f>SUM('Flujo de Fondos'!B38:L38)</f>
      </c>
      <c r="C10" s="32" t="s">
        <v>156</v>
      </c>
    </row>
    <row r="11" ht="8" customHeight="1" x14ac:dyDescent="0.25"/>
    <row r="12" ht="18" customHeight="1" spans="1:3" x14ac:dyDescent="0.25">
      <c r="A12" s="2" t="s">
        <v>157</v>
      </c>
      <c r="B12" s="2"/>
      <c r="C12" s="2"/>
    </row>
    <row r="13" ht="22" customHeight="1" spans="1:3" x14ac:dyDescent="0.25">
      <c r="A13" s="28" t="s">
        <v>158</v>
      </c>
      <c r="B13" s="33">
        <f>IRR('Flujo de Fondos'!B41:L41)</f>
      </c>
      <c r="C13" s="30" t="s">
        <v>159</v>
      </c>
    </row>
    <row r="14" ht="18" customHeight="1" spans="1:3" x14ac:dyDescent="0.25">
      <c r="A14" t="s">
        <v>160</v>
      </c>
      <c r="B14" s="34">
        <f>Parámetros!$B$5</f>
      </c>
      <c r="C14" s="32" t="s">
        <v>161</v>
      </c>
    </row>
    <row r="15" ht="18" customHeight="1" spans="1:3" x14ac:dyDescent="0.25">
      <c r="A15" t="s">
        <v>162</v>
      </c>
      <c r="B15" s="35">
        <f>IRR('Flujo de Fondos'!B41:L41)-Parámetros!$B$5/100</f>
      </c>
      <c r="C15" s="32" t="s">
        <v>163</v>
      </c>
    </row>
    <row r="16" ht="8" customHeight="1" x14ac:dyDescent="0.25"/>
    <row r="17" ht="18" customHeight="1" spans="1:3" x14ac:dyDescent="0.25">
      <c r="A17" s="2" t="s">
        <v>164</v>
      </c>
      <c r="B17" s="2"/>
      <c r="C17" s="2"/>
    </row>
    <row r="18" ht="22" customHeight="1" spans="1:3" x14ac:dyDescent="0.25">
      <c r="A18" s="36" t="s">
        <v>165</v>
      </c>
      <c r="B18" s="37">
        <f>((SUM('Flujo de Fondos'!B33:L33)+SUM('Flujo de Fondos'!B38:L38)-SUM('Flujo de Fondos'!B20:L20))-SUM('Flujo de Fondos'!B12:L12))/SUM('Flujo de Fondos'!B12:L12)</f>
      </c>
      <c r="C18" s="30" t="s">
        <v>166</v>
      </c>
    </row>
    <row r="19" ht="18" customHeight="1" spans="1:3" x14ac:dyDescent="0.25">
      <c r="A19" t="s">
        <v>167</v>
      </c>
      <c r="B19" s="31">
        <f>(SUM('Flujo de Fondos'!B33:L33)+SUM('Flujo de Fondos'!B38:L38)-SUM('Flujo de Fondos'!B20:L20))</f>
      </c>
      <c r="C19" s="32" t="s">
        <v>168</v>
      </c>
    </row>
    <row r="20" ht="18" customHeight="1" spans="1:3" x14ac:dyDescent="0.25">
      <c r="A20" t="s">
        <v>169</v>
      </c>
      <c r="B20" s="31">
        <f>SUM('Flujo de Fondos'!B12:L12)</f>
      </c>
      <c r="C20" s="32" t="s">
        <v>170</v>
      </c>
    </row>
    <row r="21" ht="8" customHeight="1" x14ac:dyDescent="0.25"/>
    <row r="22" ht="18" customHeight="1" spans="1:3" x14ac:dyDescent="0.25">
      <c r="A22" s="2" t="s">
        <v>171</v>
      </c>
      <c r="B22" s="2"/>
      <c r="C22" s="2"/>
    </row>
    <row r="23" ht="22" customHeight="1" spans="1:3" x14ac:dyDescent="0.25">
      <c r="A23" s="36" t="s">
        <v>172</v>
      </c>
      <c r="B23" s="38">
        <f>('Flujo de Fondos'!L43+('Flujo de Fondos'!B12/(1+Parámetros!$B$5/100)^0+'Flujo de Fondos'!C12/(1+Parámetros!$B$5/100)^1+'Flujo de Fondos'!D12/(1+Parámetros!$B$5/100)^2+'Flujo de Fondos'!E12/(1+Parámetros!$B$5/100)^3+'Flujo de Fondos'!F12/(1+Parámetros!$B$5/100)^4+'Flujo de Fondos'!G12/(1+Parámetros!$B$5/100)^5+'Flujo de Fondos'!H12/(1+Parámetros!$B$5/100)^6+'Flujo de Fondos'!I12/(1+Parámetros!$B$5/100)^7+'Flujo de Fondos'!J12/(1+Parámetros!$B$5/100)^8+'Flujo de Fondos'!K12/(1+Parámetros!$B$5/100)^9+'Flujo de Fondos'!L12/(1+Parámetros!$B$5/100)^10))/('Flujo de Fondos'!B12/(1+Parámetros!$B$5/100)^0+'Flujo de Fondos'!C12/(1+Parámetros!$B$5/100)^1+'Flujo de Fondos'!D12/(1+Parámetros!$B$5/100)^2+'Flujo de Fondos'!E12/(1+Parámetros!$B$5/100)^3+'Flujo de Fondos'!F12/(1+Parámetros!$B$5/100)^4+'Flujo de Fondos'!G12/(1+Parámetros!$B$5/100)^5+'Flujo de Fondos'!H12/(1+Parámetros!$B$5/100)^6+'Flujo de Fondos'!I12/(1+Parámetros!$B$5/100)^7+'Flujo de Fondos'!J12/(1+Parámetros!$B$5/100)^8+'Flujo de Fondos'!K12/(1+Parámetros!$B$5/100)^9+'Flujo de Fondos'!L12/(1+Parámetros!$B$5/100)^10)</f>
      </c>
      <c r="C23" s="30" t="s">
        <v>173</v>
      </c>
    </row>
    <row r="24" ht="18" customHeight="1" spans="1:3" x14ac:dyDescent="0.25">
      <c r="A24" t="s">
        <v>174</v>
      </c>
      <c r="B24" s="31">
        <f>('Flujo de Fondos'!B12/(1+Parámetros!$B$5/100)^0+'Flujo de Fondos'!C12/(1+Parámetros!$B$5/100)^1+'Flujo de Fondos'!D12/(1+Parámetros!$B$5/100)^2+'Flujo de Fondos'!E12/(1+Parámetros!$B$5/100)^3+'Flujo de Fondos'!F12/(1+Parámetros!$B$5/100)^4+'Flujo de Fondos'!G12/(1+Parámetros!$B$5/100)^5+'Flujo de Fondos'!H12/(1+Parámetros!$B$5/100)^6+'Flujo de Fondos'!I12/(1+Parámetros!$B$5/100)^7+'Flujo de Fondos'!J12/(1+Parámetros!$B$5/100)^8+'Flujo de Fondos'!K12/(1+Parámetros!$B$5/100)^9+'Flujo de Fondos'!L12/(1+Parámetros!$B$5/100)^10)</f>
      </c>
      <c r="C24" s="32" t="s">
        <v>175</v>
      </c>
    </row>
    <row r="25" ht="18" customHeight="1" spans="1:3" x14ac:dyDescent="0.25">
      <c r="A25" t="s">
        <v>176</v>
      </c>
      <c r="B25" s="31">
        <f>'Flujo de Fondos'!L43+('Flujo de Fondos'!B12/(1+Parámetros!$B$5/100)^0+'Flujo de Fondos'!C12/(1+Parámetros!$B$5/100)^1+'Flujo de Fondos'!D12/(1+Parámetros!$B$5/100)^2+'Flujo de Fondos'!E12/(1+Parámetros!$B$5/100)^3+'Flujo de Fondos'!F12/(1+Parámetros!$B$5/100)^4+'Flujo de Fondos'!G12/(1+Parámetros!$B$5/100)^5+'Flujo de Fondos'!H12/(1+Parámetros!$B$5/100)^6+'Flujo de Fondos'!I12/(1+Parámetros!$B$5/100)^7+'Flujo de Fondos'!J12/(1+Parámetros!$B$5/100)^8+'Flujo de Fondos'!K12/(1+Parámetros!$B$5/100)^9+'Flujo de Fondos'!L12/(1+Parámetros!$B$5/100)^10)</f>
      </c>
      <c r="C25" s="32" t="s">
        <v>177</v>
      </c>
    </row>
    <row r="26" ht="8" customHeight="1" x14ac:dyDescent="0.25"/>
    <row r="27" ht="18" customHeight="1" spans="1:3" x14ac:dyDescent="0.25">
      <c r="A27" s="2" t="s">
        <v>178</v>
      </c>
      <c r="B27" s="2"/>
      <c r="C27" s="2"/>
    </row>
    <row r="28" spans="1:4" x14ac:dyDescent="0.25">
      <c r="A28" s="39" t="s">
        <v>179</v>
      </c>
      <c r="B28" s="39" t="s">
        <v>180</v>
      </c>
      <c r="C28" s="39" t="s">
        <v>181</v>
      </c>
      <c r="D28" s="39" t="s">
        <v>182</v>
      </c>
    </row>
    <row r="29" spans="1:4" x14ac:dyDescent="0.25">
      <c r="A29" s="40" t="s">
        <v>96</v>
      </c>
      <c r="B29" s="41">
        <f>'Flujo de Fondos'!B41</f>
      </c>
      <c r="C29" s="42">
        <f>'Flujo de Fondos'!B41</f>
      </c>
      <c r="D29" s="41">
        <f>'Flujo de Fondos'!B42</f>
      </c>
    </row>
    <row r="30" spans="1:4" x14ac:dyDescent="0.25">
      <c r="A30" s="40" t="s">
        <v>97</v>
      </c>
      <c r="B30" s="41">
        <f>'Flujo de Fondos'!C41</f>
      </c>
      <c r="C30" s="42">
        <f>C29+'Flujo de Fondos'!C41</f>
      </c>
      <c r="D30" s="41">
        <f>D29+'Flujo de Fondos'!C42</f>
      </c>
    </row>
    <row r="31" spans="1:4" x14ac:dyDescent="0.25">
      <c r="A31" s="40" t="s">
        <v>98</v>
      </c>
      <c r="B31" s="41">
        <f>'Flujo de Fondos'!D41</f>
      </c>
      <c r="C31" s="42">
        <f>C30+'Flujo de Fondos'!D41</f>
      </c>
      <c r="D31" s="41">
        <f>D30+'Flujo de Fondos'!D42</f>
      </c>
    </row>
    <row r="32" spans="1:4" x14ac:dyDescent="0.25">
      <c r="A32" s="40" t="s">
        <v>99</v>
      </c>
      <c r="B32" s="41">
        <f>'Flujo de Fondos'!E41</f>
      </c>
      <c r="C32" s="42">
        <f>C31+'Flujo de Fondos'!E41</f>
      </c>
      <c r="D32" s="41">
        <f>D31+'Flujo de Fondos'!E42</f>
      </c>
    </row>
    <row r="33" spans="1:4" x14ac:dyDescent="0.25">
      <c r="A33" s="40" t="s">
        <v>100</v>
      </c>
      <c r="B33" s="41">
        <f>'Flujo de Fondos'!F41</f>
      </c>
      <c r="C33" s="42">
        <f>C32+'Flujo de Fondos'!F41</f>
      </c>
      <c r="D33" s="41">
        <f>D32+'Flujo de Fondos'!F42</f>
      </c>
    </row>
    <row r="34" spans="1:4" x14ac:dyDescent="0.25">
      <c r="A34" s="40" t="s">
        <v>101</v>
      </c>
      <c r="B34" s="41">
        <f>'Flujo de Fondos'!G41</f>
      </c>
      <c r="C34" s="42">
        <f>C33+'Flujo de Fondos'!G41</f>
      </c>
      <c r="D34" s="41">
        <f>D33+'Flujo de Fondos'!G42</f>
      </c>
    </row>
    <row r="35" spans="1:4" x14ac:dyDescent="0.25">
      <c r="A35" s="40" t="s">
        <v>102</v>
      </c>
      <c r="B35" s="41">
        <f>'Flujo de Fondos'!H41</f>
      </c>
      <c r="C35" s="42">
        <f>C34+'Flujo de Fondos'!H41</f>
      </c>
      <c r="D35" s="41">
        <f>D34+'Flujo de Fondos'!H42</f>
      </c>
    </row>
    <row r="36" spans="1:4" x14ac:dyDescent="0.25">
      <c r="A36" s="40" t="s">
        <v>103</v>
      </c>
      <c r="B36" s="41">
        <f>'Flujo de Fondos'!I41</f>
      </c>
      <c r="C36" s="42">
        <f>C35+'Flujo de Fondos'!I41</f>
      </c>
      <c r="D36" s="41">
        <f>D35+'Flujo de Fondos'!I42</f>
      </c>
    </row>
    <row r="37" spans="1:4" x14ac:dyDescent="0.25">
      <c r="A37" s="40" t="s">
        <v>104</v>
      </c>
      <c r="B37" s="41">
        <f>'Flujo de Fondos'!J41</f>
      </c>
      <c r="C37" s="42">
        <f>C36+'Flujo de Fondos'!J41</f>
      </c>
      <c r="D37" s="41">
        <f>D36+'Flujo de Fondos'!J42</f>
      </c>
    </row>
    <row r="38" spans="1:4" x14ac:dyDescent="0.25">
      <c r="A38" s="40" t="s">
        <v>105</v>
      </c>
      <c r="B38" s="41">
        <f>'Flujo de Fondos'!K41</f>
      </c>
      <c r="C38" s="42">
        <f>C37+'Flujo de Fondos'!K41</f>
      </c>
      <c r="D38" s="41">
        <f>D37+'Flujo de Fondos'!K42</f>
      </c>
    </row>
    <row r="39" spans="1:4" x14ac:dyDescent="0.25">
      <c r="A39" s="40" t="s">
        <v>106</v>
      </c>
      <c r="B39" s="41">
        <f>'Flujo de Fondos'!L41</f>
      </c>
      <c r="C39" s="42">
        <f>C38+'Flujo de Fondos'!L41</f>
      </c>
      <c r="D39" s="41">
        <f>D38+'Flujo de Fondos'!L42</f>
      </c>
    </row>
    <row r="40" ht="8" customHeight="1" x14ac:dyDescent="0.25"/>
    <row r="41" ht="22" customHeight="1" spans="1:3" x14ac:dyDescent="0.25">
      <c r="A41" s="36" t="s">
        <v>183</v>
      </c>
      <c r="B41" s="43">
        <f>MATCH(TRUE,C29:C39&gt;=0,0)-1</f>
      </c>
      <c r="C41" s="30" t="s">
        <v>184</v>
      </c>
    </row>
    <row r="42" ht="22" customHeight="1" spans="1:3" x14ac:dyDescent="0.25">
      <c r="A42" s="36" t="s">
        <v>185</v>
      </c>
      <c r="B42" s="43">
        <f>MATCH(TRUE,D29:D39&gt;=0,0)-1</f>
      </c>
      <c r="C42" s="30" t="s">
        <v>186</v>
      </c>
    </row>
    <row r="43" ht="8" customHeight="1" x14ac:dyDescent="0.25"/>
    <row r="44" ht="18" customHeight="1" spans="1:3" x14ac:dyDescent="0.25">
      <c r="A44" s="2" t="s">
        <v>187</v>
      </c>
      <c r="B44" s="2"/>
      <c r="C44" s="2"/>
    </row>
    <row r="45" ht="22" customHeight="1" spans="1:3" x14ac:dyDescent="0.25">
      <c r="A45" s="36" t="s">
        <v>188</v>
      </c>
      <c r="B45" s="44">
        <f>SUM('Flujo de Fondos'!B12:L12)/Parámetros!$B$3</f>
      </c>
      <c r="C45" s="30" t="s">
        <v>189</v>
      </c>
    </row>
    <row r="46" ht="22" customHeight="1" spans="1:3" x14ac:dyDescent="0.25">
      <c r="A46" s="36" t="s">
        <v>190</v>
      </c>
      <c r="B46" s="45">
        <f>(SUM('Flujo de Fondos'!B33:L33)+SUM('Flujo de Fondos'!B38:L38))/Parámetros!$B$3/Parámetros!$B$4</f>
      </c>
      <c r="C46" s="30" t="s">
        <v>191</v>
      </c>
    </row>
    <row r="47" ht="22" customHeight="1" spans="1:3" x14ac:dyDescent="0.25">
      <c r="A47" s="36" t="s">
        <v>192</v>
      </c>
      <c r="B47" s="45">
        <f>SUM('Flujo de Fondos'!B20:L20)/Parámetros!$B$3/Parámetros!$B$4</f>
      </c>
      <c r="C47" s="30" t="s">
        <v>193</v>
      </c>
    </row>
    <row r="48" ht="8" customHeight="1" x14ac:dyDescent="0.25"/>
    <row r="49" ht="18" customHeight="1" spans="1:3" x14ac:dyDescent="0.25">
      <c r="A49" s="2" t="s">
        <v>194</v>
      </c>
      <c r="B49" s="2"/>
      <c r="C49" s="2"/>
    </row>
    <row r="51" ht="20" customHeight="1" spans="1:3" x14ac:dyDescent="0.25">
      <c r="A51" s="1" t="s">
        <v>195</v>
      </c>
      <c r="B51" s="1" t="s">
        <v>1</v>
      </c>
      <c r="C51" s="1" t="s">
        <v>196</v>
      </c>
    </row>
    <row r="52" ht="20" customHeight="1" spans="1:3" x14ac:dyDescent="0.25">
      <c r="A52" s="36" t="s">
        <v>197</v>
      </c>
      <c r="B52" s="46">
        <f>'Flujo de Fondos'!L43</f>
      </c>
      <c r="C52" s="47" t="s">
        <v>198</v>
      </c>
    </row>
    <row r="53" ht="20" customHeight="1" spans="1:3" x14ac:dyDescent="0.25">
      <c r="A53" s="36" t="s">
        <v>199</v>
      </c>
      <c r="B53" s="48">
        <f>IRR('Flujo de Fondos'!B41:L41)</f>
      </c>
      <c r="C53" s="47" t="s">
        <v>200</v>
      </c>
    </row>
    <row r="54" ht="20" customHeight="1" spans="1:3" x14ac:dyDescent="0.25">
      <c r="A54" s="36" t="s">
        <v>201</v>
      </c>
      <c r="B54" s="48">
        <f>((SUM('Flujo de Fondos'!B33:L33)+SUM('Flujo de Fondos'!B38:L38)-SUM('Flujo de Fondos'!B20:L20))-SUM('Flujo de Fondos'!B12:L12))/SUM('Flujo de Fondos'!B12:L12)</f>
      </c>
      <c r="C54" s="47" t="s">
        <v>202</v>
      </c>
    </row>
    <row r="55" ht="20" customHeight="1" spans="1:3" x14ac:dyDescent="0.25">
      <c r="A55" s="36" t="s">
        <v>203</v>
      </c>
      <c r="B55" s="49">
        <f>('Flujo de Fondos'!L43+('Flujo de Fondos'!B12/(1+Parámetros!$B$5/100)^0+'Flujo de Fondos'!C12/(1+Parámetros!$B$5/100)^1+'Flujo de Fondos'!D12/(1+Parámetros!$B$5/100)^2+'Flujo de Fondos'!E12/(1+Parámetros!$B$5/100)^3+'Flujo de Fondos'!F12/(1+Parámetros!$B$5/100)^4+'Flujo de Fondos'!G12/(1+Parámetros!$B$5/100)^5+'Flujo de Fondos'!H12/(1+Parámetros!$B$5/100)^6+'Flujo de Fondos'!I12/(1+Parámetros!$B$5/100)^7+'Flujo de Fondos'!J12/(1+Parámetros!$B$5/100)^8+'Flujo de Fondos'!K12/(1+Parámetros!$B$5/100)^9+'Flujo de Fondos'!L12/(1+Parámetros!$B$5/100)^10))/('Flujo de Fondos'!B12/(1+Parámetros!$B$5/100)^0+'Flujo de Fondos'!C12/(1+Parámetros!$B$5/100)^1+'Flujo de Fondos'!D12/(1+Parámetros!$B$5/100)^2+'Flujo de Fondos'!E12/(1+Parámetros!$B$5/100)^3+'Flujo de Fondos'!F12/(1+Parámetros!$B$5/100)^4+'Flujo de Fondos'!G12/(1+Parámetros!$B$5/100)^5+'Flujo de Fondos'!H12/(1+Parámetros!$B$5/100)^6+'Flujo de Fondos'!I12/(1+Parámetros!$B$5/100)^7+'Flujo de Fondos'!J12/(1+Parámetros!$B$5/100)^8+'Flujo de Fondos'!K12/(1+Parámetros!$B$5/100)^9+'Flujo de Fondos'!L12/(1+Parámetros!$B$5/100)^10)</f>
      </c>
      <c r="C55" s="47" t="s">
        <v>204</v>
      </c>
    </row>
    <row r="56" ht="20" customHeight="1" spans="1:3" x14ac:dyDescent="0.25">
      <c r="A56" s="36" t="s">
        <v>205</v>
      </c>
      <c r="B56" s="50">
        <f>MATCH(TRUE,D29:D39&gt;=0,0)-1</f>
      </c>
      <c r="C56" s="47" t="s">
        <v>206</v>
      </c>
    </row>
  </sheetData>
  <mergeCells count="8">
    <mergeCell ref="A1:C1"/>
    <mergeCell ref="A5:C5"/>
    <mergeCell ref="A12:C12"/>
    <mergeCell ref="A17:C17"/>
    <mergeCell ref="A22:C22"/>
    <mergeCell ref="A27:C27"/>
    <mergeCell ref="A44:C44"/>
    <mergeCell ref="A49:C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Parámetros</vt:lpstr>
      <vt:lpstr>Flujo de Fondos</vt:lpstr>
      <vt:lpstr>Indicadores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Simulator — Edesur 2026</dc:creator>
  <dc:title/>
  <dc:subject/>
  <dc:description/>
  <cp:keywords/>
  <cp:category/>
  <cp:lastModifiedBy>Unknown</cp:lastModifiedBy>
  <dcterms:created xsi:type="dcterms:W3CDTF">2026-06-25T20:18:25Z</dcterms:created>
  <dcterms:modified xsi:type="dcterms:W3CDTF">2026-06-25T20:18:25Z</dcterms:modified>
</cp:coreProperties>
</file>